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แผนปฏิบัติราชการ\แผนปฏิบัติราชการ 2569\รายงานตัวชี้วัด\รายงานตัวชี้วัด (แผนประจำ) 69\"/>
    </mc:Choice>
  </mc:AlternateContent>
  <xr:revisionPtr revIDLastSave="0" documentId="13_ncr:1_{C0D68210-1A6F-49A4-88E7-5E4BDB8B11B8}" xr6:coauthVersionLast="47" xr6:coauthVersionMax="47" xr10:uidLastSave="{00000000-0000-0000-0000-000000000000}"/>
  <bookViews>
    <workbookView xWindow="-120" yWindow="-120" windowWidth="21840" windowHeight="13020" firstSheet="1" activeTab="4" xr2:uid="{B64FC2DA-0451-4C79-B11E-94974E004587}"/>
  </bookViews>
  <sheets>
    <sheet name="ตัวชี้วัด 69" sheetId="2" state="hidden" r:id="rId1"/>
    <sheet name="ตัวชี้วัด 69 (6 เดือน)" sheetId="5" r:id="rId2"/>
    <sheet name="สรุป 6 เดือน 69" sheetId="3" r:id="rId3"/>
    <sheet name="ตัวชี้วัด 69 (9 เดือน)" sheetId="6" r:id="rId4"/>
    <sheet name="สรุป 9 เดือน 69" sheetId="7" r:id="rId5"/>
  </sheets>
  <definedNames>
    <definedName name="_xlnm.Print_Area" localSheetId="2">'สรุป 6 เดือน 69'!$A$1:$G$16</definedName>
    <definedName name="_xlnm.Print_Area" localSheetId="4">'สรุป 9 เดือน 69'!$A$1:$H$16</definedName>
    <definedName name="_xlnm.Print_Titles" localSheetId="0">'ตัวชี้วัด 69'!$3:$3</definedName>
    <definedName name="_xlnm.Print_Titles" localSheetId="1">'ตัวชี้วัด 69 (6 เดือน)'!$4:$4</definedName>
    <definedName name="_xlnm.Print_Titles" localSheetId="3">'ตัวชี้วัด 69 (9 เดือน)'!$4:$4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0" i="6" l="1"/>
  <c r="E50" i="6" s="1"/>
  <c r="E40" i="6"/>
  <c r="E13" i="6"/>
  <c r="F15" i="7"/>
  <c r="F16" i="7" s="1"/>
  <c r="D15" i="7"/>
  <c r="F14" i="7"/>
  <c r="B14" i="7"/>
  <c r="F13" i="7"/>
  <c r="B13" i="7"/>
  <c r="F12" i="7"/>
  <c r="B12" i="7"/>
  <c r="F11" i="7"/>
  <c r="B11" i="7"/>
  <c r="F10" i="7"/>
  <c r="B10" i="7"/>
  <c r="F9" i="7"/>
  <c r="B9" i="7"/>
  <c r="F8" i="7"/>
  <c r="B8" i="7"/>
  <c r="F7" i="7"/>
  <c r="E7" i="7"/>
  <c r="C7" i="7"/>
  <c r="C15" i="7" s="1"/>
  <c r="F6" i="7"/>
  <c r="B6" i="7"/>
  <c r="E77" i="6"/>
  <c r="E75" i="6"/>
  <c r="E74" i="6"/>
  <c r="E73" i="6"/>
  <c r="E70" i="6"/>
  <c r="E63" i="6"/>
  <c r="E61" i="6"/>
  <c r="E60" i="6"/>
  <c r="E54" i="6"/>
  <c r="E47" i="6"/>
  <c r="E46" i="6"/>
  <c r="E43" i="6"/>
  <c r="E38" i="6"/>
  <c r="E36" i="6"/>
  <c r="E35" i="6"/>
  <c r="E34" i="6"/>
  <c r="E33" i="6"/>
  <c r="E32" i="6"/>
  <c r="E31" i="6"/>
  <c r="E30" i="6"/>
  <c r="E29" i="6"/>
  <c r="E27" i="6"/>
  <c r="E25" i="6"/>
  <c r="E24" i="6"/>
  <c r="E22" i="6"/>
  <c r="E20" i="6"/>
  <c r="E19" i="6"/>
  <c r="E14" i="6"/>
  <c r="E8" i="6"/>
  <c r="F13" i="3"/>
  <c r="E15" i="5"/>
  <c r="E8" i="5"/>
  <c r="F6" i="3" s="1"/>
  <c r="E13" i="5"/>
  <c r="E14" i="5"/>
  <c r="E66" i="5"/>
  <c r="B7" i="7" l="1"/>
  <c r="B15" i="7" s="1"/>
  <c r="E15" i="7"/>
  <c r="E78" i="6"/>
  <c r="E79" i="6" s="1"/>
  <c r="E70" i="5"/>
  <c r="E71" i="5"/>
  <c r="E73" i="5"/>
  <c r="E69" i="5"/>
  <c r="E57" i="5"/>
  <c r="E59" i="5"/>
  <c r="E56" i="5"/>
  <c r="E46" i="5"/>
  <c r="E48" i="5"/>
  <c r="E51" i="5"/>
  <c r="E45" i="5"/>
  <c r="E42" i="5"/>
  <c r="F11" i="3" s="1"/>
  <c r="E37" i="5"/>
  <c r="F10" i="3" s="1"/>
  <c r="E19" i="5"/>
  <c r="E20" i="5"/>
  <c r="E22" i="5"/>
  <c r="E24" i="5"/>
  <c r="E25" i="5"/>
  <c r="E26" i="5"/>
  <c r="E74" i="5" l="1"/>
  <c r="E75" i="5" s="1"/>
  <c r="F14" i="3"/>
  <c r="F8" i="3"/>
  <c r="F12" i="3"/>
  <c r="E29" i="5"/>
  <c r="E30" i="5"/>
  <c r="E31" i="5"/>
  <c r="E32" i="5"/>
  <c r="E33" i="5"/>
  <c r="E34" i="5"/>
  <c r="E35" i="5"/>
  <c r="E28" i="5"/>
  <c r="F15" i="3" s="1"/>
  <c r="F9" i="3" l="1"/>
  <c r="F16" i="3"/>
  <c r="F7" i="3"/>
  <c r="D15" i="3"/>
  <c r="B14" i="3"/>
  <c r="B13" i="3"/>
  <c r="B12" i="3"/>
  <c r="B11" i="3"/>
  <c r="B10" i="3"/>
  <c r="B9" i="3"/>
  <c r="B8" i="3"/>
  <c r="E7" i="3"/>
  <c r="E15" i="3" s="1"/>
  <c r="C7" i="3"/>
  <c r="B6" i="3"/>
  <c r="B7" i="3" l="1"/>
  <c r="B15" i="3"/>
  <c r="C15" i="3"/>
</calcChain>
</file>

<file path=xl/sharedStrings.xml><?xml version="1.0" encoding="utf-8"?>
<sst xmlns="http://schemas.openxmlformats.org/spreadsheetml/2006/main" count="729" uniqueCount="209">
  <si>
    <t>ตัวชี้วัด</t>
  </si>
  <si>
    <t>หน่วยนับ</t>
  </si>
  <si>
    <t>รวม</t>
  </si>
  <si>
    <t>ประเด็นยุทธศาสตร์ที่ 1. การขับเคลื่อนยุทธศาสตร์มหาวิทยาลัยเชิงรุกสู่การเป็นมหาวิทยาลัยชั้นนำด้านเกษตรสุขภาวะในระดับนานาชาติ (Proactive Strategy toward Inter IWA)</t>
  </si>
  <si>
    <t>เป้าประสงค์ที่ 1.1  เป็นมหาวิทยาลัยชั้นนำด้านการเกษตรสุขภาวะในระดับนานาชาติ</t>
  </si>
  <si>
    <t>1.1.1 ผลการจัดอันดับ World University Ranking (WUR)</t>
  </si>
  <si>
    <t>อันดับ</t>
  </si>
  <si>
    <t>อันดับที่ 1,201-1,500 ของโลก</t>
  </si>
  <si>
    <t>-</t>
  </si>
  <si>
    <t>1.1.2 ผลการจัดอันดับ SCIMAGO</t>
  </si>
  <si>
    <t>1.1.3 ผลการจัดอันดับ QS ด้านเกษตรและป่าไม้</t>
  </si>
  <si>
    <t>อันดับที่ 401-450 ของโลก</t>
  </si>
  <si>
    <t>1.1.4 ความสำเร็จในการร่วมสนับสนุนและขับเคลื่อนการดำเนินงานเพื่อเข้ารับการจัดอันดับ SDGs</t>
  </si>
  <si>
    <t>ระดับ</t>
  </si>
  <si>
    <t>1.1.5. ความสำเร็จในการสนับสนุนมหาวิทยาลัยในการขับเคลื่อนนโยบาย Green U และ Green Office)</t>
  </si>
  <si>
    <t xml:space="preserve">เป้าประสงค์ที่ 1.2  เป็นมหาวิทยาลัยที่เป็นเลิศด้านเกษตรอัจฉริยะเพื่อสุขภาวะที่ดี  </t>
  </si>
  <si>
    <t xml:space="preserve">1.2.1 ความสำเร็จของยุทธศาสตร์เกษตรอินทรีย์ (Organic University) </t>
  </si>
  <si>
    <t>ร้อยละ</t>
  </si>
  <si>
    <t>1.2.2 ความสำเร็จของการดำเนินงานด้านเกษตรอัจฉริยะ (Intelligent Agriculture)</t>
  </si>
  <si>
    <t>ประเด็นยุทธศาสตร์ที่ 2. การขับเคลื่อนผลการดำเนินงานตามพันธกิจหลัก (Driving Mission - Driven Performance)</t>
  </si>
  <si>
    <t>เป้าประสงค์ที่ 2.1 ผลิตบัณฑิตและพัฒนานักศึกษาที่ก้าวทันต่อโลกสมัยใหม่และเป็นนักปฏิบัติที่เชี่ยวชาญ</t>
  </si>
  <si>
    <t>2.1.1 จำนวนนักศึกษาใหม่ระดับปริญญาตรี</t>
  </si>
  <si>
    <t>คน</t>
  </si>
  <si>
    <t>2.1.2 ร้อยละของผู้สำเร็จการศึกษาภายในระยะเวลาของหลักสูตร </t>
  </si>
  <si>
    <t>2.1.3 ร้อยละของบัณฑิตที่มีงานทำหรือประกอบอาชีพอิสระภายใน 1 ปี</t>
  </si>
  <si>
    <t>2.1.4 ความพึงพอใจผู้ใช้บัณฑิต</t>
  </si>
  <si>
    <t>ค่าเฉลี่ย</t>
  </si>
  <si>
    <t>2.1.5 รายได้เริ่มต้นเฉลี่ยต่อเดือนของบัณฑิตระดับปริญญาตรี</t>
  </si>
  <si>
    <t>บาท</t>
  </si>
  <si>
    <t xml:space="preserve">2.1.6ค่าฐานนิยม (Mode) ผลการประเมินระดับหลักสูตร </t>
  </si>
  <si>
    <t>2.1.7 จำนวนรายวิชาเรียนรู้ตลอดชีวิต </t>
  </si>
  <si>
    <t>รายวิชา</t>
  </si>
  <si>
    <t xml:space="preserve">2.1.8 จำนวนรางวัลที่นักศึกษา บุคลากร ศิษย์เก่าหรือส่วนงาน ได้รับในระดับชาติ หรือนานาชาติ  </t>
  </si>
  <si>
    <t>รางวัล</t>
  </si>
  <si>
    <t>2.1.9 ร้อยละของนักศึกษาชั้นปีสุดท้ายที่ผ่านกระบวนการ พัฒนาพัฒนาให้เป็นพลเมืองโลก ด้วยกระบวนการทักษะในศตวรรษที่ 21 </t>
  </si>
  <si>
    <t>เป้าประสงค์ที่ 2.2 สร้างผลงานวิจัย เทคโนโลยีและนวัตกรรม ที่มีการบูรณาการศาสตร์ โดยใช้เกษตรเป็นรากฐาน และได้รับการยอมรับในระดับชาติและนานาชาติ</t>
  </si>
  <si>
    <t>2.2.1 จำนวนเงินวิจัยด้านวิทยาศาสตร์และเทคโนโลยี</t>
  </si>
  <si>
    <t>2.2.2 ร้อยละของอาจารย์และนักวิจัยประจำที่มีผลงานวิจัย</t>
  </si>
  <si>
    <t>2.2.3 จำนวนครั้งในการผลงานวิจัยหรืองานสร้างสรรค์ที่นำไปใช้ประโยชน์</t>
  </si>
  <si>
    <t>ครั้ง</t>
  </si>
  <si>
    <t>2.2.4 ร้อยละของผลงานวิจัยที่ได้รับการตีพิมพ์เผยแพร่ตามเกณฑ์การเผยแพร่ผลงานวิชาการของ กพอ.</t>
  </si>
  <si>
    <t>2.2.5 ร้อยละของบทความวิจัยที่ได้รับการอ้างอิง (Citation) ต่อจำนวนอาจารย์ประจำทั้งหมด</t>
  </si>
  <si>
    <t>2.2.6 จำนวนผลงานวิจัยที่ยื่นขอจดสิทธิบัตร/อนุสิทธิบัตร/บัญชีนวัตกรรม/นวัตกรรมต้นแบบ</t>
  </si>
  <si>
    <t>ผลงาน</t>
  </si>
  <si>
    <t>2.2.7 ร้อยละของผลงานวิชาการที่เสนอขอรับการจดลิขสิทธิ์ต่ออาจารย์ประจำ</t>
  </si>
  <si>
    <t>2.2.8 จำนวนองค์ความรู้งานวิจัยเพื่อพัฒนาผู้เรียน</t>
  </si>
  <si>
    <t>เรื่อง</t>
  </si>
  <si>
    <t>เป้าประสงค์ที่ 2.3 ให้บริการวิชาการเพื่อเป็นที่ยอมรับจากสังคม ชุมชน และประเทศ ด้วยศาสตร์ทางด้านการเกษตร</t>
  </si>
  <si>
    <t>2.3.1 จำนวนงบประมาณบริการวิชาการ</t>
  </si>
  <si>
    <t>2.3.2 ผลกระทบด้านเศรษฐกิจ สังคม และคุณภาพชีวิตของชุมชนจากการบริการวิชาการ</t>
  </si>
  <si>
    <t>2.3.3 ระดับความสำเร็จของการบูรณาการผลงานบริการวิชาการสู่พันธกิจอื่น</t>
  </si>
  <si>
    <t xml:space="preserve">เป้าประสงค์ที่ 2.4 เป็นแหล่งเรียนรู้ด้านศิลปวัฒนธรรมเกษตรและสิ่งแวดล้อม และสร้างสรรค์นวัตกรรมด้านทุนทางวัฒนธรรม </t>
  </si>
  <si>
    <t>2.4.1 ความสำเร็จของแผนทำนุบำรุงศิลปวัฒนธรรม</t>
  </si>
  <si>
    <t>2.4.2 องค์ความรู้ด้านทำนุบำรุงศิลปะวัฒนธรรมไทยและการอนุรักษ์ทรัพยากรธรรมชาติและสิ่งแวดล้อม</t>
  </si>
  <si>
    <t>ประเด็นยุทธศาสตร์ที่ 3. การขับเคลื่อนความเป็นนานาชาติ (Fostering Internationalization)</t>
  </si>
  <si>
    <t>เป้าประสงค์ที่ 3.1 ความสำเร็จในการขับเคลื่อนการดำเนินงานของมหาวิทยาลัยในระดับนานาชาติ</t>
  </si>
  <si>
    <t xml:space="preserve">3.1.1 จำนวนนักศึกษาต่างชาติทุกระดับ / ทุกหลักสูตร </t>
  </si>
  <si>
    <t>3.1.2 จำนวนอาจารย์/นักวิจัยแลกเปลี่ยน หรือบุคลากรชาวต่างชาติ (Inbound/Outbound)</t>
  </si>
  <si>
    <t>3.1.3 จำนวนนักศึกษาแลกเปลี่ยนทุกระดับ ทุกหลักสูตร หรือผู้เข้ารับการฝึกอบรมชาวต่างชาติ (Inbound/ Outbound)</t>
  </si>
  <si>
    <t>3.1.4 จำนวนองค์ความรู้ด้านการเกษตรที่ได้รับการยอมรับในระดับนานาชาติ</t>
  </si>
  <si>
    <t xml:space="preserve">3.1.5 ร้อยละของนักศึกษาที่มีผลสอบมาตรฐานภาษาอังกฤษ (CEFR) ตั้งแต่ B1 ขึ้นไป </t>
  </si>
  <si>
    <t>ประเด็นยุทธศาสตร์ที่ 4. การขับเคลื่อนสู่การเป็นมหาวิทยาลัยด้านการพัฒนาเทคโนโลยีและส่งเสริมการสร้างนวัตกรรม (Technology Development and Innovation University)</t>
  </si>
  <si>
    <t>เป้าประสงค์ที่ 4.1 เป็นมหาวิทยาลัยด้านการพัฒนาเทคโนโลยีและส่งเสริมการสร้างวัตกรรม (Technology Development and Innovation)</t>
  </si>
  <si>
    <t>4.1.1 บุคลากรสถาบันอุดมศึกษาและนักศึกษาที่แลกเปลี่ยนความรู้สู่ภาคธุรกิจ/อุตสาหกรรม</t>
  </si>
  <si>
    <t>4.1.2 ความร่วมมือเพื่อพัฒนาผู้ประกอบการและส่งเสริมการสร้างนวัตกรรมกับภาคธุรกิจ/อุตสาหกรรม</t>
  </si>
  <si>
    <t>ความร่วมมือ</t>
  </si>
  <si>
    <t>4.1.3 ระบบนิเวศด้านเทคโนโลยีและนวัตกรรมเพื่อเร่งพัฒนาผู้ประกอบการ</t>
  </si>
  <si>
    <t>ประเด็นยุทธศาสตร์ที่ 5. การบริหารจัดการและการเสริมสร้างความมั่นคงทางการเงินอย่างยั่งยืน (Financial Stability and Sustainable Growth)</t>
  </si>
  <si>
    <t>เป้าประสงค์ที่ 5.1 มีการบริหารจัดการองค์กรและทรัพยากรมนุษย์ที่มีประสิทธิภาพ</t>
  </si>
  <si>
    <t>5.1.1 ความสำเร็จในการเตรียมความพร้อมเพื่อเข้ารับการประเมินองค์กรสู่ความเป็นเลิศ (EdPEx)</t>
  </si>
  <si>
    <t>5.1.2 ร้อยละของบุคลากรที่มีตำแหน่งทางวิชาการ</t>
  </si>
  <si>
    <t>5.1.3 ร้อยละของบุคลากรที่มีผลการประเมินสมรรถนะเป็นไปตามมาตรฐาน</t>
  </si>
  <si>
    <t>เป้าประสงค์ที่ 5.2 เป็นมหาวิทยาลัยที่มีความมั่นคงทางงบประมาณและทรัพยากรอย่างยั่งยืน</t>
  </si>
  <si>
    <t>5.2.1 ร้อยละของงบประมาณเงินรายได้ที่ได้รับจริงต่อประมาณการเงินรายได้</t>
  </si>
  <si>
    <t>5.2.2 จำนวนเงินรายได้จากการให้บริการ</t>
  </si>
  <si>
    <t>5.2.3 จำนวนเงินในกองทุนเงินสะสมเพื่อความมั่นคง</t>
  </si>
  <si>
    <t>5.2.4 ปริมาณการใช้ไฟฟ้าเปรียบเทียบกับปีที่ผ่านมา </t>
  </si>
  <si>
    <t>เพิ่มขึ้น 2%</t>
  </si>
  <si>
    <t>5.2.5 การใช้จ่ายงบประมาณแผ่นดินงบลงทุนตามมาตรการเร่งรัดการเบิกจ่ายประจำปีงบประมาณ พ.ศ. 2569</t>
  </si>
  <si>
    <t>รายงานผลการดำเนินงานตามตัวชี้วัดแผนพัฒนาการศึกษา ฉบับที่ 13 (พ.ศ.2566 - 2570) ฉบับปรับปรุง และแผนปฏิบัติการ ประจำปีงบประมาณ พ.ศ. 2569</t>
  </si>
  <si>
    <t>คณะเทคโนโลยีการประมงและทรัพยากรทางน้ำ มหาวิทยาลัยแม่โจ้</t>
  </si>
  <si>
    <t>ผลการดำเนินงาน</t>
  </si>
  <si>
    <t>รายละเอียดการดำเนินงาน / เอกสารอ้างอิง</t>
  </si>
  <si>
    <t>คำอธิบายเกณฑ์การประเมินตัวชี้วัด</t>
  </si>
  <si>
    <t>2.1.3 ความสำเร็จในการพัฒนานักศึกษาสู่การเป็นผู้มีสุขภาวะที่ดี</t>
  </si>
  <si>
    <t>ประเด็นยุทธศาสตร์</t>
  </si>
  <si>
    <t>จำนวนตัวชี้วัด</t>
  </si>
  <si>
    <t>ร้อยละความสำเร็จ
ตามเป้าหมายเฉลี่ย</t>
  </si>
  <si>
    <t>ปัญหา/อุปสรรค และแนวทางปรับปรุง
ผลการดำเนินในแต่ละประเด็นยุทธศาสตร์</t>
  </si>
  <si>
    <t>บรรลุเป้าหมาย</t>
  </si>
  <si>
    <t>ไม่บรรลุเป้าหมาย</t>
  </si>
  <si>
    <t>N/A</t>
  </si>
  <si>
    <t>รอบ 6 เดือน</t>
  </si>
  <si>
    <t xml:space="preserve"> - ด้านผลิตบัณฑิต</t>
  </si>
  <si>
    <t xml:space="preserve"> - ด้านวิจัยและนวัตกรรม</t>
  </si>
  <si>
    <t xml:space="preserve"> - ด้านบริการวิชาการแก่สังคม</t>
  </si>
  <si>
    <t xml:space="preserve"> - ด้านทำนุบำรุงศิลปวัฒนธรรม</t>
  </si>
  <si>
    <t>ระดับความสำเร็จ (คะแนนเต็ม 5)</t>
  </si>
  <si>
    <t>สรุปร้อยละความสำเร็จตัวชี้วัดตามตัวชี้วัดตามแผนพัฒนาการศึกษา ระยะที่ 13 (พ.ศ.2565 - 2569) และแผนปฏิบัติการ ประจำปีงบประมาณ พ.ศ. 2569</t>
  </si>
  <si>
    <t xml:space="preserve">คณะเทคโนโลยีการประมงและทรัพยากรทางน้ำ รอบ 6 เดือน (1 ตุลาคม 2568 - 31 มีนาคม 2569) </t>
  </si>
  <si>
    <t>พิจารณาจากรายงานผลการดำเนินงานที่สนับสนุนเป้าหมายของมหาวิทยาลัย เพื่อเข้าสู่การจัดอันดับ World University Ranking (WUR)-</t>
  </si>
  <si>
    <t>พิจารณาจากเกณฑ์การประเมินผลการดำเนินงานตามมติที่ประชุมคณะกรรมการขับเคลื่อนยุทธศาสตร์การเป็นมหาวิทยาลัยสีเขียว (Green University) หรือ Green Office</t>
  </si>
  <si>
    <t>พิจารณาจากผลการดำเนินงานการร่วมขับเคลื่อนกิจกรรมสำคัญที่จะขับเคลื่อนการดำเนินงานในปีงบประมาณ พ.ศ. 2569 ดังนี้
1.ผลงานการเรียนการสอนด้านเกษตรอินทรีย์
1.1 หลักสูตรด้านเกษตรอินทรีย์(Degree/non-degree) ที่เปิดสอน ในปีงบประมาณ 2569)
1.2 จำนวณบัณฑิต หรือ ผู้จบหลักสูตรด้านเกษตรอินทรีย์
2.ผลงานวิจัยด้านเกษตรอินทรีย์
2.1 จำนวนงบประมาณสนับสนุนงานวิจัยด้านเกษตรอินทรีย์
3. ผลงานบริการวิชาการด้านเกษตรอินทรีย์
3.1 จำนวนองค์ความรู้/ข้อเสนอเชิงนโยบาย ด้านเกษตรอินทรีย์ที่ได้รับการใช้ประโยชน์สู่สาธารณะ/ชุมชน
3.2 เครือข่ายเกษตรกร หรือผู้ประกอบการด้านเกษตรอินทรีย์
4. ด้านภาพลักษณ์เกษตรอินทรีย์แม่โจ้และการบริหารจัดการ
4.1 การพัฒนาฐานข้อมูลเกษตรอินทรีย์ มหาวิทยาลัยแม่โจ้
4.2 ความสำเร็จของ Maejo PGS
4.3 ความสำเร็จของกาด 2477
4.4 จำนวนพื้นที่อินทรีย์ภายในมหาวิทยาลัยที่ผ่านการรับรอง-</t>
  </si>
  <si>
    <t>พิจารณาจากรายงานผลการดำเนินงานที่สนับสนุนเป้าหมายของมหาวิทยาลัย เพื่อเข้าสู่การจัดอันดับ SCIMAGO ตามเป้าหมายที่กำหนด</t>
  </si>
  <si>
    <t>พิจารณาจากรายงานผลการดำเนินงานที่สนับสนุนเป้าหมายของมหาวิทยาลัย เพื่อเข้าสู่การจัดอันดับ QS ด้านเกษตรและป่าไม้ ตามเป้าหมายที่กำหนด</t>
  </si>
  <si>
    <t>พิจารณาจากการประเมินความสำเร็จตามกระบวนการ
 - มีการวิเคราะห์ข้อมูลที่เกี่ยวข้อง (1 คะแนน)
 - มีการวางแผนและกำหนดแนวทางการขับเคลื่อนการดำเนินงาน (1 คะแนน)
 - มีการจัดกิจกรรมที่เกี่ยวข้องอย่างน้อย 2 กิจกรรม โดยหนึ่งกิจกรรมต้องเกี่ยวข้องกับ SDG ที่รับผิดชอบ (1 คะแนน)
 - มีการรายงานผลการดำเนินงานต่อคณะกรรมการขับเคลื่อนการจัดอันดับม.สู่ความยั่งยืน (1 คะแนน)
 - มีการรายงานผลเข้าสู่ระบบรายงานผลกิจกรรมที่สอดคล้องกับ SDGs (1 คะแนน)</t>
  </si>
  <si>
    <t>พิจารณาจากผลการดำเนินงานกิจกรรมสำคัญที่จะขับเคลื่อนการดำเนินงานในปีงบประมาณ พ.ศ. 2569 ดังนี้
1.ผลงานการเรียนการสอนด้านเกษตรอัจฉริยะ
1.1 หลักสูตรด้านเกษตรอัจฉริยะ (Degree/non-degree) ที่เปิดสอน (ในปีงบประมาณ 2569)
1.2 จำนวณบัณฑิต หรือ ผู้จบหลักสูตรด้านเกษตรอัจฉริยะ
2.ผลงานวิจัยด้านเกษตรอัจฉริยะ
2.1 จำนวนโครงการวิจัยด้านเกษตรอัจฉริยะ
3. ผลงานการบริการวิชาการด้านเกษตรอัจฉริยะ
3.1 จำนวนเทคโนโลยี  นวัตกรรมและกระบวนการเกษตรสมัยใหม่และเกษตรอัจฉริยะที่ได้รับการพัฒนาต่อยอดกับชุมชน สังคม หรือพาณิชย์
3.2 จำนวนเครือข่ายความร่วมมือและจำนวนเครือข่ายที่ได้รับการพัฒนาและขยายความร่วมมือกับกลุ่มผู้ใช้นวัตกรรมเกษตรสมัยใหม่และเกษตรอัจฉริยะ
4. ด้านภาพลักษณ์เกษตรอัจฉริยะแม่โจ้
4.1 จำนวนพื้นที่/ศูนย์ถ่ายทอดนวัตกรรม/แหล่งเรียนรู้ และฟาร์มเกษตรสมัยใหม่และเกษตรอัจฉริยะภายในมหาวิทยาลัย</t>
  </si>
  <si>
    <t>พิจารณาจากความสำเร็จของการบรรลุเป้าหมายตามตัวชี้วัดและกิจกรรมโครงการที่กำหนดดังนี้ 
กิจกรรมที่จะดำเนินการ
1. กิจกรรมกวดขันวินัยและสร้างจิตสำนึกวินัยจราจร (ศึกษาวิจัย) (ZT)
2. การสำรวจสุขภาพจิต (แบบสำรวจสุขภาพจิต)นักศึกษาและบุคลากร (HP)
3. กิจกรรมส่งเสริมสุขภาพให้แก่นักศึกษาและบุคลากรในกลุ่มเสี่ยงจากข้อมูลการตรวจสุขภาพประจำปีบุคลกรและข้อมูลรายงานสุขภาพนักศึกษา(HP)
4. การดำเนินงานเพื่อพัฒนานักศึกษาสู่การเป็นผู้มีสุขภาวะที่ดีของแต่ละส่วนงาน</t>
  </si>
  <si>
    <t>พิจารณาจากการนับจำนวนนักศึกษารับเข้าระดับปริญญาตรี (ทั้งภาคปกติและสมทบ) ลงทะเบียนเข้าศึกษาชั้นปีที่1 ในหลักสูตรทุกประเภท ประจำปีการศึกษา 2569</t>
  </si>
  <si>
    <t xml:space="preserve">พิจารณาจากจำนวนนักศึกษาชั้นปีสุดท้ายระดับปริญญาตรี (ภาคปกติ) หลักสูตร 4 ปีและ 5 ปี สำเร็จการศึกษาในปีการศึกษา 2569 / จำนวนนักศึกษาหลักสูตร 4 ปีและ 5 ปี ชั้นปีสุดท้ายทั้งหมด) x 100  </t>
  </si>
  <si>
    <t>พิจารณาจากจำนวนบัณฑิตระดับปริญญาตรีที่สำเร็จในปีการศึกษา 2567 ที่ได้งานทำหรือประกอบอาชีพอิสระภายใน 1 ปี / จำนวนบัณฑิตที่ตอบแบบสำรวจทั้งหมด)  X  100</t>
  </si>
  <si>
    <t>พิจารณาจากค่าเฉลี่ยผลการสำรวจความพึงพอใจของผู้ใช้บัณฑิต ประจำปีการศึกษา 2567 จากระบบความพึงพอใจของผู้ใช้บัณฑิต</t>
  </si>
  <si>
    <t>พิจารณาจากจำนวนรายได้เฉลี่ยต่อเดือนเริ่มต้นของบัณฑิตปริญญาตรีที่สำเร็จการศึกษา ในปีการศึกษา 2567</t>
  </si>
  <si>
    <t>พิจารณาจากค่าฐานนิยม (Mode) จากผลการประเมินคุณภาพการศึกษาระดับหลักสูตรตามเกณฑ์ AUN-QA ของทุกหลักสูตรในปีการศึกษา 2568
**ข้อมูลอ้างอิงจากระบบรายงานผลการประเมินคุณภาพการศึกษา (QA-Report)</t>
  </si>
  <si>
    <t>พิจารณาจากการนับจำนวนรายวิชาเรียนรู้ตลอดชีวิตที่คณะกรรมการวิชาการรับทราบ และมีการเปิดรับนักศึกษาในปีงบประมาณ พ.ศ. 2569</t>
  </si>
  <si>
    <t>พิจารณาจากการนับจำนวนรางวัลจำนวนรางวัลที่นักศึกษา บุคลากร ศิษย์เก่า หรือส่วนงาน/หน่วยงานได้รับในระดับชาติ/นานาชาติ ในปีงบประมาณ พ.ศ. 2569</t>
  </si>
  <si>
    <t>พิจารณาจากจำนวนนักศึกษาชั้นปีสุดท้ายที่ได้รับการพัฒนาตามกระบวนการพัฒนาทักษะการเรียนรู้ในศตวรรษที่ 21 / จำนวนนักศึกษาชั้นปีสุดท้ายทั้งหมด) x 100</t>
  </si>
  <si>
    <t>พิจารณาจากจำนวนเงินสนับสนุนโครงการวิจัยจากทุกแหล่งงบประมาณ (งบประมาณแผ่นดินและงบประมาณจากแหล่งอื่น) ที่อาจารย์/นักวิจัยประจำได้รับ ที่ได้ขึ้นทะเบียนงานวิจัยที่สำนักวิจัยฯ และบันทึกเข้าสู่ฐานข้อมูลงานวิจัยในระบบ ERP</t>
  </si>
  <si>
    <t>พิจารณาจากจำนวนอาจารย์และนักวิจัยประจำที่มีผลงานวิจัยนับเฉพาะที่เป็นหัวหน้าโครงการหรือมีความรับผิดชอบในโครงการวิจัยนั้นๆ ในปีงบประมาณ พ.ศ. 2569</t>
  </si>
  <si>
    <t>พิจารณาจากจำนวนครั้งในการนำผลงานวิจัยหรืองานสร้างสรรค์ของอาจารย์/นักวิจัยประจำที่มีการนำมาใช้ประโยชน์ในปีงบประมาณ พ.ศ. 2569</t>
  </si>
  <si>
    <t>พิจารณาจากจำนวนผลงานวิจัยหรืองานสร้างสรรค์ที่ได้รับการตีพิมพ์ระดับชาติหรือนานาชาติ / จำนวนอาจารย์และนักวิจัยประจำทั้งหมด) x 100</t>
  </si>
  <si>
    <t>พิจารณาจากบทความวิจัยหรืองานสร้างสรรค์ที่ได้รับการอ้างอิง (Citation) ใน (Refereed journal หรือในฐานข้อมูลระดับนานาชาติ / จำนวนอาจารย์และนักวิจัยประจำทั้งหมด) x 100* นับอาจารย์ลาศึกษาต่อ</t>
  </si>
  <si>
    <t>พิจารณาจากการนับจำนวนผลงานวิจัยที่ได้ยื่นขอจดสิทธิบัตร/อนุสิทธิบัตร/บัญชีนวัตกรรม/นวัตกรรมต้นแบบ</t>
  </si>
  <si>
    <t>พิจารณาจากจำนวนผลงานวิชาการที่เสนอขอรับการจดลิขสิทธิ์และ/หรือได้รับรองคุณภาพจากหน่วยงานที่เชื่อถือได้ ภายในปีงบประมาณ พ.ศ. 2569 ต่อจำนวนอาจารย์ประจำทั้งหมด</t>
  </si>
  <si>
    <t>พิจารณาจากจำนวนองค์ความรู้งานวิจัยที่นำมาสู่การพัฒนาผู้เรียน ในปีงบประมาณ พ.ศ. 2569</t>
  </si>
  <si>
    <t>พิจารณาจากการนับจำนวนงบประมาณบริการวิชาการจากทุกแหล่งทุน ในปีงบประมาณ พ.ศ. 2569</t>
  </si>
  <si>
    <t>พิจารณาจากค่าเฉลี่ยผลการสำรวจผลกระทบด้านเศรษฐกิจ สังคม และคุณภาพชีวิตของชุมชนเป้าหมาย ที่เกิดจากโครงการบริการวิชาการของมหาวิทยาลัยและส่วนงาน</t>
  </si>
  <si>
    <t>พิจารณาจากจำนวนผลการนำความรู้และประสบการณ์จากการให้บริการวิชาการมาใช้ในการพัฒนาการเรียนการสอนและ/หรือการวิจัยต่อจำนวนโครงการบริการวิชาในแผนปฏิบัติการประจำปีงบประมาณ พ.ศ. 2569 โดยเทียบบัญญัติไตรยางศ์กำหนดร้อยละ 30 เท่ากับ 5 คะแนน</t>
  </si>
  <si>
    <t>พิจารณาจากผลการดำเนินงานตามตัวชี้วัดในแผนทำนุบำรุงศิลปวัฒนธรรม ประจำปีงบประมาณ พ.ศ. 2569</t>
  </si>
  <si>
    <t>พิจารณาจากจำนวนองค์ความรู้ด้านทำนุบำรุงศิลปะวัฒนธรรมไทยและการอนุรักษ์ทรัพยากรธรรมชาติและสิ่งแวดล้อมที่มีการเผยแพร่ผ่านช่องทางต่างๆ ภายในปีงบประมาณ พ.ศ. 2569</t>
  </si>
  <si>
    <t>พิจารณาจากจำนวนนักศึกษาชาวต่างชาติทุกระดับ และทุกหลักสูตร (ที่มีการออกรหัสเป็นนักศึกษาของมหาวิทยาลัย และยังคงสภาพนักศึกษาอยู่ในปีการศึกษา 2569)</t>
  </si>
  <si>
    <t>พิจารณาจากการนับจำนวนอาจารย์/นักวิจัย/บุคลากรของหน่วยงาน/สถาบันการศึกษาในต่างประเทศ ที่มหาวิทยาลัยได้เชิญหรือรับเชิญ เพื่อแลกเปลี่ยนด้วยเหตุผลทางวิชาการ ทั้งในรูปแบบ Onsite และ Online</t>
  </si>
  <si>
    <t xml:space="preserve">พิจารณาจากการนับจำนวนนักศึกษาที่เข้ามาหรือไปเพื่อแลกเปลี่ยนด้วยเหตุผลทางวิชาการ/สหกิจศึกษา หรือชาวต่างชาติที่เข้ารับการฝึกอบรมในหลักสูตรระยะสั้น หรือระยะยาว ทั้งในรูปแบบ Onsite และ Online  </t>
  </si>
  <si>
    <t>พิจารณาจากการนับจำนวนองค์ความรู้เกษตรที่ได้รับการยอมรับในระดับนานาชาติทั้งออนไลน์และออนไซต์</t>
  </si>
  <si>
    <t>พิจารณาจากนักศึกษาระดับปริญญาตรีชั้นปีสุดท้ายที่สอบผ่านมาตรฐานเกณฑ์การวัดในระดับ B1 ขึ้นไป / จำนวนนักศึกษาที่เข้าสอบทั้งหมด) x 100</t>
  </si>
  <si>
    <t>พิจารณาจากการนับจำนวนบุคลากรจากสถาบันอุดมศึกษาทั้งอาจารย์และนักศึกษาไปถ่ายทอด/แลกเปลี่ยนความรู้เพื่อพัฒนาสินค้าและบริการแก่สถานประกอบการในภาคธุรกิจ/อุตสาหกรรม รวมถึงวิสาหกิจชุมชน  หรือมีสถานประกอบการมาเป็นพี่เลี้ยงในการประกอบธุรกิจหรือพัฒนาแบบจำลองทางธุรกิจ</t>
  </si>
  <si>
    <t>พิจารณาจากการนับจำนวนความร่วมมือเพื่อพัฒนาผู้ประกอบการและส่งเสริมการสร้างนวัตกรรมระหว่างภาคธุรกิจ/อุตสาหกรรมร่วมกับสถาบันอุดมศึกษา</t>
  </si>
  <si>
    <t>พิจารณาจากการดำเนินงานตามขั้นตอนทั้ง 5 ขั้นตอน
A - มีนโยบายส่งเสริมด้านการพัฒนาเทคโนโลยีและนวัตกรรม เพื่อเร่งพัฒนาผู้ประกอบการ
B - มีเครือข่ายผู้ประกอบการด้านเทคโนโลยีและนวัตกรรม เพื่อเร่งพัฒนาผู้ประกอบการ
C - มีโครงการ/กิจกรรมด้านเทคโนโลยีและนวัตกรรม เพื่อเร่งพัฒนาผู้ประกอบการ
D - มีรายวิชาเฉพาะด้านเทคโนโลยีและนวัตกรรม เพื่อเร่งพัฒนาผู้ประกอบการ
E - มี Platform กลางด้านเทคโนโลยีและนวัตกรรม เพื่อเร่งพัฒนาผู้ประกอบการ</t>
  </si>
  <si>
    <t>พิจารณาจากการดำเนินการตามแนวทางการนำเกณฑ์ EdPEx ไปใช้ในการพัฒนาองค์กรสู่ความเป็นเลิศ
ปีที่ 1 : ดำเนินการให้ครบถ้วน (ระดับ 4) ปีงบประมาณ พ.ศ. 2569
1. การจัดทำโครงร่างองค์กรที่มีองค์ประกอบครบถ้วนตามเกณฑ์ EdPEx 
(13 หัวข้อ) ที่สะท้อนบริบทและตัวตนของหน่วยงาน
2. การวิเคราะห์ GAP Analysis ทั้งในหมวดกระบวนการและหมวดผลลัพธ์ เพื่อค้นหาจุดแข็ง (Strength) และโอกาสในการพัฒนา (OFI)
3. การกำหนดตัววัดวิสัยทัศน์เพื่อมุ่งสู่ความเป็นเลิศ และจัดทำแผนพัฒนาคุณภาพองค์กร ระยะ 3 ปี ที่ครอบคลุมกระบวนการในหมวด 1 – 6 และเชื่อมโยงผลลัพธ์ของหมวด 7 
4. การจัดทำรายงานการประเมินตนเองให้ครอบคลุม Basic Question 
5. การจัดทำข้อมูลพื้นฐาน Common Data Set ให้มีความครบถ้วนสมบูรณ์และจัดส่งภายในระยะเวลาที่กำหนด</t>
  </si>
  <si>
    <t>พิจารณาจากการนับจำนวนคณาจารย์ที่มีตำแหน่งทางวิชาการทุกระดับ +อาจารย์ที่ยื่นขอตำแหน่ง/ จำนวนอาจารย์ทั้งหมด) *100</t>
  </si>
  <si>
    <t>พิจารณาจากผลประเมินสมรรถนะในระบบPMS หากมีผลรวมของคะแนนมากกว่า 8 คะนนขึ้นไป (คะแนนเต็ม10) ถือว่าบุคลากรรายนั้น มีผลการประเมินสมรรถนะเป็นไปตามมาตรฐานที่กำหนด</t>
  </si>
  <si>
    <t>พิจารณาจากจำนวนงบประมาณเงินรายได้ที่ได้รับจริงของส่วนงาน/ จำนวนประมาณการงบประมาณเงินรายได้ ประจำปีงบประมาณ พ.ศ. 2568 *100</t>
  </si>
  <si>
    <t xml:space="preserve">พิจารณาจากการนับจำนวนงบประมาณเงินรายได้ที่เกิดที่ปรากฏในระบบ E-Fin รายการ รายได้เงินผลประโยชน์, รายได้จากฟาร์ม รายได้จากการบริจาค รายได้จากการฝึกอบรม และรายได้อื่น </t>
  </si>
  <si>
    <t>พิจารณาจากการนับยอดรวมของจำนวนเงินสะสมรวมในกองทุนสะสมเพื่อความมั่นคงของแต่ละคณะ/สำนัก นับเฉพาะเงินกองทุนคณะ/ส่วนงานที่ใช้ได้เฉพาะ
ดอกผล</t>
  </si>
  <si>
    <t>พิจารณาผลการดำเนินงานจากปริมาณการใช้ไฟฟ้าต่อหัวบุคลากรและนักศึกษาของปีปัจจุบันเปรียบเทียบกับปีที่ผ่านมากับปีที่ผ่านมา</t>
  </si>
  <si>
    <t>พิจารณาจากประเมินผลการใช้จ่ายงบประมาณแผ่นดิน (งบลงทุน) ตามมาตรการเร่งรัดการเบิกจ่ายประจำปีงบประมาณ พ.ศ. 2569 โดยพิจารณาจากค่าเฉลี่ยการใช้จ่ายและการเบิกจ่ายงบประมาณตามเกณฑ์</t>
  </si>
  <si>
    <t>เป้าหมาย 
ปีงบประมาณ 2569</t>
  </si>
  <si>
    <t>ร้อยละ
ความสำเร็จ</t>
  </si>
  <si>
    <t>รอบ 6 เดือน (1 ตุลาคม 2568 - 31 มีนาคม 2569) คณะเทคโนโลยีการประมงและทรัพยากรทางน้ำ มหาวิทยาลัยแม่โจ้</t>
  </si>
  <si>
    <t>ประเด็นยุทธศาสตร์ที่ 1 (Proactive Strategy toward Inter IWA)</t>
  </si>
  <si>
    <t xml:space="preserve">ประเด็นยุทธศาสตร์ที่ 2 การขับเคลื่อนผลการดำเนินงานตามพันธกิจหลัก </t>
  </si>
  <si>
    <t>ประเด็นยุทธศาสตร์ที่ 3 การขับเคลื่อนความเป็นนานาชาติ</t>
  </si>
  <si>
    <t>ประเด็นยุทธศาสตร์ที่ 4 การขับเคลื่อนสู่การเป็นมหาวิทยาลัยด้านการพัฒนาเทคโนโลยีและส่งเสริมการสร้างนวัตกรรม</t>
  </si>
  <si>
    <t>ประเด็นยุทธศาสตร์ที่ 5 การบริหารจัดการและการเสริมสร้างความมั่นคงทางการเงินอย่างยั่งยืน</t>
  </si>
  <si>
    <t>เฉลี่ยประเด็น 1-5</t>
  </si>
  <si>
    <t>คณะฯ มีการนำผลงานวิจัยหรืองานสร้างสรรค์ไปใช้ประโยชน์ จำนวน 8 ครั้ง ได้แก่
1. นำงานวิจัย เรื่อง ศึกษาประสิทธิภาพระบบเลี้ยงปลาดุกและปลูกผักในบ้านอัจฉริยะ ไปใช้ประโยชน์แก่ภาควิชาสัตวศาสตร์และสัตว์น้ำ คณะเกษตรศาสตร์ มหาวิทยาลัย เชียงใหม่
2. นำงานวิจัย เรื่อง ศึกษาประสิทธิภาพระบบเลี้ยงปลาดุกและปลูกผักในบ้านอัจฉริยะ ไปใช้ประโยชน์แก่คณะเทคโนโลยีการเกษตร  มหาวิทยาลัยราชภัฏเชียงใหม่
3. นำงานวิจัย เรื่อง โครงการการพัฒนาผลิตภัณฑ์ซินไบโอติกส์ร่วมกับวัสดุเหลือทิ้งทางการเกษตร เพื่อลดการใช้ยาปฏิชีวนะในสัตว์น้ำ ไปใช้ประโยชน์แก่บริษัท อุตสาหกรรม เทคโนโลยี ชีวภาพ (ประเทศไทย) จำกัด
4. นำงานวิจัย เรื่อง ประสิทธิภาพของชีวภัณฑ์ shrimp premix และ MEX1 ต่อสุขภาพและผลผลิตของกุ้งเศรษฐกิจ ไปใช้ประโยชน์แก่บริษัท อุตสาหกรรม เทคโนโลยี ชีวภาพ (ประเทศไทย) จำกัด
5. นำงานวิจัย เรื่อง ประสิทธิภาพของชีวภัณฑ์ fish premix และ THEPTM1 ต่อการเจริญเติบโตและคุณภาพของปลานิล ไปใช้ประโยชน์แก่บริษัท อุตสาหกรรม เทคโนโลยี ชีวภาพ (ประเทศไทย) จำกัด
6. นำงานวิจัย เรื่อง การผลิตสารสกัดจากส่วนดอกและใบดาหลา 2 ชนิด ไปใช้ประโยชน์แก่วิสาหกิจชุมชนมั่นคง มั่งคั่ง ยั่งยืน
7. นำงานวิจัย เรื่อง การขยายสเกลการผลิตสารเสริมโปรตีนปลาไฮโดรไลเสตสำหรับเป็นสารเสริมกระตุ้นการกินในสัตว์เลี้ยง ระดับกึ่งอุตสาหกรรม ไปใช้ประโยชน์แก่บริษัท นิวทรีชั่น เอสซี จำกัด (มหาชน)
8. นำงานวิจัย เรื่อง การขยายสเกลการผลิตและทดสอบทางคลินิกของผลิตภัณฑ์มูลค่าเพิ่มจากส่วนเหลือใช้การแปรรูปปลาลูกผสมบึกสยามแม่โจ้ ไปใช้ประโยชน์แก่บริษัท เซนทอล จำกัด</t>
  </si>
  <si>
    <t>อาจารย์ประจำที่มีงานวิจัย จำนวน 9 คน ต่อจำนวนอาจารย์ประจำที่ปฏิบัติงานจริง 15 คน คิดเป็นร้อยละ 60 โดยมีรายชื่ออาจารย์ที่ได้รับทุน ดังนี้
1. ผศ.ดร.สุดาพร ตงศิริ 2. รศ.ดร.ชนกันต์ จิตมนัส 3. อ.ดร.โดม อดุลย์สุข 4. อ.ดร.วาธิณี อินทรพงษ์นุวัฒน์ 5. รศ.ดร.จงกล พรมยะ 6. อ.ดร.ขจรเกียรติ์ ศรีนวลสม 7. อ.ดร.นงพงา แสงเจริญ 8. รศ.ดร.ดวงพร อมรเลิศพิศาล 9. ผศ.ดร.ดารชาต์ เทียมเมือง</t>
  </si>
  <si>
    <t>ในปีงบประมาณ 2569 คณะฯ มีผลการดำเนินงานด้านบทความวิจัยที่ได้รับการอ้างอิง (Citation) ใน Refereed journal หรือในฐานข้อมูลระดับนานาชาติ จำนวน 178 เรื่อง (ข้อมูลวันที่ 27 มีนาคม 2569) ต่ออาจารย์ประจำที่ปฏิบัติงานจริงและลาศึกษาต่อ จำนวน 16 คน คิดเป็นร้อยละ 1,112.50</t>
  </si>
  <si>
    <t>ผลงานวิจัยหรืองานสร้างสรรค์ของอาจารย์ประจำที่เสนอขอรับการจดทะเบียนสิทธิบัตร/อนุสิทธิบัตร จำนวน 6 ผลงาน ได้แก่
 1. ยื่นขอการจดทะเบียนอนุสิทธิบัตร สูตรขนมเลียผสมซินไบโอติกสำหรับแมว โดย รศ.ดร.ดวงพร อมรเลิศพิศาล</t>
  </si>
  <si>
    <t>มีการนำองค์ความรู้งานวิจัยมาประยุกต์ใช้ในการเรียนการสอน เพื่อพัฒนาผู้เรียน จำนวน 15 เรื่อง</t>
  </si>
  <si>
    <t>ในปีงบประมาณ 2569 คณะฯ มีเงินสนับสนุนงานวิจัย จำนวน 9,088,219 บาท โดยแบ่งออกเป็นแหล่งทุนงานวิจัยภายใน จำนวน 2,034,440 บาท และเป็นทุนงานวิจัยจากภายนอก จำนวน 7,053,779 บาท ต่ออาจารย์ประจำที่ปฏิบัติงานจริง จำนวน 15 คน ดังนั้น จึงคิดเป็นจำนวน 605,881.27 บาท ต่อคน</t>
  </si>
  <si>
    <t>งานวิจัยหรืองานสร้างสรรค์ที่ได้รับการตีพิมพ์หรือเผยแพร่ จำนวน 17 เรื่อง คิดคะแนนถ่วงน้ำหนัก เท่ากับ 16.00 ต่อจำนวนอาจารย์ประจำและลาศึกษาต่อ จำนวน 16 คน คิดเป็นร้อยละ 106.25
- ฐานข้อมูล TCI กลุ่ม 2 จำนวน 1 เรื่อง
- ฐานข้อมูล TCI กลุ่ม 1 จำนวน 3 เรื่อง
- ฐานข้อมูลระดับนานาชาติ 13 เรื่อง</t>
  </si>
  <si>
    <t>ในปีงบประมาณ 2569 คณะฯ มีผลงานวิชาการที่เสนอขอรับการจดลิขสิทธิ์ จำนวน 3 เรื่อง ต่อจำนวนอาจารย์ประจำทั้งหมด 16 คน คิดเป็นร้อยละ 18.75</t>
  </si>
  <si>
    <t>ผลการดำเนินงาน รอบ  6 เดือน</t>
  </si>
  <si>
    <t xml:space="preserve">เมื่อวันที่ 10 – 13 มีนาคม 2569 อาจารย์ ดร.โดม อดุลย์สุข รองคณบดีฝ่ายพัฒนานักศึกษาและกิจการพิเศษ ได้เข้าร่วมการประชุมเชิงปฏิบัติการ Follow-up ASEAN IVO Project Meeting and Workshop เรื่อง “AI-Powered Smart Automation with CODESYS &amp; Web HMI for Smart Farming” ภายใต้โครงการ AI-Driven Smart Horticulture for Climate Sensitive Plant using Soil Analysis and Image Processing : A Tropical Perspective พร้อมทั้งร่วมบรรยายและนำเสนอผลงานด้าน Smart Farm และการประยุกต์ใช้ AI ในงานด้านการประมง รวมถึงฝึกอบรมเชิงปฏิบัติการในหัวข้อ AI, Image Processing และการเขียนโปรแกรม PLC/PAC ด้วย CODESYS ให้แก่อาจารย์ นักวิจัย และนักศึกษา ณ Faculty of Engineering, National University of Laos นครหลวงเวียงจันทร์ สาธารณรัฐประชาธิปไตยประชาชนลาว </t>
  </si>
  <si>
    <t>วันที่ 24 – 28 พฤศจิกายน 2568 รศ.ดร.อภินันท์ สุวรรณรักษ์ ได้เข้าร่วมงานประชุมวิชาการ “2025 Southeast Asia Biodiversity Workshop; Conservation, Restoration, and Sustainable Use of Biodiversity in Southeast Asia,” พร้อมทั้งนำเสนอผลงานทางวิชาการ เรื่อง Alien Fish Species and the Sustainability of Freshwater Fisheries in Thailand ณ XTBG in Menglun Town, Mengla County, Xishuangbanna, Yunnan Province, China นอกจากนี้ ยังได้รับเชิญเป็นวิทยากรบรรยายพิเศษ เรื่อง Chinese Academy of Science Freshwater Fish of Thailand: Biodiversity • Ecology • Conservation • Human Livelihoods ให้กับนักศึกษาระดับบัณฑิตศึกษา ณ Kunming Institute of Zoology, University of Academy Chinese of Science สาธารณรัฐประชาชนจีน</t>
  </si>
  <si>
    <t>คณะมีจำนวนรางวัลที่นักศึกษา บุคลากร ศิษย์เก่า หรือส่วนงาน ได้รับในระดับชาติ หรือนานาชาติ จำนวน 12 รางวัล ได้แก่
1. รางวัล Best Poster Presentation Award จากผลงาน เรื่อง Preliminary Study on Semantic Segmentation of Head, Tail, Fins, and Body of Nile Tilapia Using Deep Convolutional Neural Networks with Transfer Learning ของ รศ.ดร.นิสรา กิจเจริญ
2. รางวัลการนำเสนอผลงานภาคบรรยายระดับดีมาก เรื่อง การเปรียบเทียบสูตรอาหารที่เหมาะสมในการเพาะเลี้ยงคลอเรลล่าของ นายคณัสนันท์ จันต๊ะมงคล
3. รางวัลการนำเสนอผลงานภาคบรรยายระดับดีมาก เรื่อง แนวทางการเสริมสร้างศักยภาพธุรกิจปลาดุกในห่วงโซ่การผลิตพื้นที่อำเภอสันทราย จังหวัดเชียงใหม่ ของ นายชิณเสฏฐ์ เอี่ยมเมือง
4. รางวัลการนำเสนอผลงานภาคบรรยายระดับดี เรื่อง การพัฒนาสูตรอาหารปลานิลอินทรีย์จากวัตถุดินอินทรีย์เสริมชีวมวลไบโอฟลอค : การประเมินประสิทธิภาพการเจริญเติบโตและต้นทุนการผลิต ของ น.ส.พิชญาภา พิทักษ์วัชรีกุล
5. รางวัลการนำเสนอผลงานภาคบรรยายระดับดีมาก เรื่อง ประสิทธิภาพการเจริญเติบโตของปลานิลที่เลี้ยงด้วยอาหารผสมกากมะพร้าวหมักที่ระดับแตกต่างกัน ของ น.ส.พุทธิดา สมบูรณ์ชัย
6. รางวัลการนำเสนอผลงานภาคโปสเตอร์ระดับดีมาก เรื่อง ผลของชนิดพริก วิธีการทำแห้ง ชนิดของบรรจุภัณฑ์ และวิธีการฆ่าเชื้อที่มีต่อคุณลักษณะของน้ำพริกน้ำปู ของ น.ส.เพ็ญนภา ชูเยาว์
7. รางวัลการนำเสนอผลงานภาคบรรยายระดับดีเยี่ยม เรื่อง การศึกษาทางอนุกรมวิธาน และการค้นพบปลาค้อชนิดใหม่จากลำน้ำเข็ก อำเภอเขาค้อ จังหวัดเพชรบูรณ์ ของ นายภัคพล ชุมศิลป์
8. รางวัลการนำเสนอผลงานภาคโปสเตอร์ระดับดีเยี่ยม เรื่อง การพัฒนาผลิตภัณฑ์ปลาบึกทอดกรอบจากวัตถุดิบที่ผ่านการบ่มแบบเปียกโดยการคัดกรองปัจจัยด้วยการออกแบบการทดลองแบบ Plackett-Burman ของ อ.ดร.นงพงา แสงเจริญ
9. รางวัลเชิดชูเกียรติ "คนดีศรีเกษตร" ของ น.ส.เพ็ญนภา ชูเยาว์
10. รางวัลเหรียญทอง "ทักษะการบรรจุพันธุ์ลูกปลา"
11. รางวัลเหรียญทอง "การประกวดโมเดลธุรกิจนวัตกรรมการเกษตร"
12. รางวัลเหรียญทอง "ทักษะการทอดแห"</t>
  </si>
  <si>
    <t>นายสุชน สมคิด นักศึกษาระดับปริญญาโท เข้าร่วมฝึกอบรมหลักสูตรระยะสั้นในหัวข้อ “Agricultural Productivity and Sustainability” ภายใต้โครงการความร่วมมือของ Southeast Asian Regional Center for Graduate Study and Research in Agriculture (SEARCA) และ the University Consortium (UC) ณ Central Luzon State University, Philippines ในระหว่างวันที่ 16 – 30 พฤศจิกายน 2568</t>
  </si>
  <si>
    <t>รศ.ดร.อภินันท์ สุวรรณรักษ์ ได้รับเชิญเป็นวิทยากรบรรยายพิเศษ เรื่อง Chinese Academy of Science Freshwater Fish of Thailand: Biodiversity • Ecology • Conservation • Human Livelihoods ให้กับนักศึกษาระดับบัณฑิตศึกษา เมื่อวันที่ 28 พ.ย. 68 ณ Kunming Institute of Zoology, University of Academy Chinese of Science สาธารณรัฐประชาชนจีน พร้อมทั้งหารือความร่วมมือทางวิชาการเพื่อการแลกเปลี่ยนทั้งบุคลากรและนักศึกษา รวมถึงความร่วมมืองานวิจัยทางการประมงในประเทศพม่าอีกด้วย</t>
  </si>
  <si>
    <t>อ.ดร.โดม อดุลย์สุข ได้รับเชิญเป็นวิทยากรบรรยายและนำเสนอผลงานด้าน Smart Farm และการประยุกต์ใช้ AI ในงานด้านการประมง รวมถึงฝึกอบรมเชิงปฏิบัติการในหัวข้อ AI, Image Processing และการเขียนโปรแกรม PLC/PAC ด้วย CODESYS ให้แก่อาจารย์ นักวิจัย และนักศึกษา เมื่อวันที่ 10-12 มี.ค. 69 ณ Faculty of Engineering, National University of Laos นครหลวงเวียงจันทร์ สาธารณรัฐประชาธิปไตยประชาชนลาว</t>
  </si>
  <si>
    <t>น.ส.วริศรา อิกำเนิด นักศึกษาระดับปริญญาตรี เข้ารับการฝึกสหกิจศึกษาเพื่อเสริมสร้างความรู้ และประสบการณ์ด้านวิชาการและการวิจัยที่เกี่ยวข้องกับการประมง ระหว่างวันที่ 17 พ.ย. 68 - 6 มี.ค. 69 ณ Central Luzon State University, Philippines</t>
  </si>
  <si>
    <t>คณะเทคโนโลยีการประมงและทรัพยากรทางน้ำ ให้การต้อนรับนักวิชาการและเจ้าหน้าที่ของมูลนิธิเอคโค่ ประเทศไทย จังหวัดเชียงใหม่ จำนวน 16 คน เพื่อเข้าศึกษาดูงาน ในหัวข้อ “การเลี้ยงปลาทับทิมแบบครบวงจร” โดยมีคณาจารย์ของคณะให้การต้อนรับ และร่วมเป็นวิทยากร เมื่อวันที่ 24 ต.ค. 68</t>
  </si>
  <si>
    <t>รอผลประเมินเมื่อสิ้นสุดการจัดทำโครงการ</t>
  </si>
  <si>
    <t>รอผลการดำเนินงานเมื่อสิ้นสุดการจัดทำโครงการ</t>
  </si>
  <si>
    <t>อยู่ระหว่างดำเนินการ</t>
  </si>
  <si>
    <t>Mr.	Noylamphanh 	Phongsavath</t>
  </si>
  <si>
    <t xml:space="preserve">บุคลากร จำนวน 13 คน เข้าร่วมฝึกอบรมเชิงปฏิบัติการทางด้านเทคโนโลยี AI และการพัฒนาเว็บไซต์สำหรับบุคลากรด้านการเกษตร (พืช สัตว์ ประมง) ณ ฟาร์มแม่ริม บริษัท อีพาวเวอร์ เซอร์วิส จำกัด ซึ่งเป็นบริษัทที่มีความร่วมมือทางวิชาการร่วมกัน -ในวันที่ 17-18 มกราคม 2569 </t>
  </si>
  <si>
    <t>A. คณะมีนโยบายส่งเสริมด้านการพัฒนาเทคโนโลยีและนวัตกรรมเพื่อเร่งพัฒนาผู้ประกอบการ ตามแผนแผนพัฒนาการศึกษาคณะเทคโนโลยีการประมงและทรัพยากรทางน้ำฉบับที่ 13 (พ.ศ.2566 - 2570) และแผนปฏิบัติการประจำปี พ.ศ. 2569 ในประเด็นยุทธศาสตร์ที่ 4 การขับเคลื่อนสู่การเป็นมหาวิทยาลัยด้านการพัฒนาเทคโนโลยีและส่งเสริมการสร้างนวัตกรรม (Technology Development and Innovation University)  เป้าประสงค์ที่ 4.1 เป็นมหาวิทยาลัยด้านการพัฒนาเทคโนโลยีและส่งเสริมการสร้างวัตกรรม (Technology Development and Innovation)</t>
  </si>
  <si>
    <t>D. คณะมีรายวิชาเฉพาะด้านเทคโนโลยีและนวัตกรรม เพื่อเร่งพัฒนาผู้ประกอบการ ทั้ง 4 หลักสูตร</t>
  </si>
  <si>
    <t>รอผลการดำเนินงานสิ้นเดือนกรกฎาคม 2569</t>
  </si>
  <si>
    <t>มีจำนวนอาจารย์ที่มีตำแหน่งทางวิชาการ 11 คน อยู่ระหว่างยื่นขอตำแหน่งที่สูงขึ้น 1 คน รวมเป็น 12 คน ต่ออาจารย์ทั้งหมด 16 คน</t>
  </si>
  <si>
    <t>ร้อยละของนักศึกษาชั้นปีสุดท้ายที่ผ่านกระบวนการ พัฒนาพัฒนาให้เป็นพลเมืองโลก ด้วยกระบวนการทักษะในศตวรรษที่ 21 ร้อยละ 100</t>
  </si>
  <si>
    <t xml:space="preserve">1. นวัตกรรมปลาน้ำจืดสำหรับผู้ประกอบการ โดยรองศาสตราจารย์ ดร.เกรียงศักดิ์ เม่งอำพัน  มีจำนวนผู้ลงทะเบียนเรียน 192 คน สำเร็จการศึกษา 44 คน
2. หลักสูตรนวัตกรรมการเพิ่มมูลค่าผลผลิตทางการเกษตรเพื่อ
ขับเคลื่อนเศรษฐกิจ BCG (กลุ่มอุตสาหกรรมเกษตร
สมัยใหม่และการแปรรูปอาหาร)  (โครงการบัณฑิตพันธุ์ใหม่ฯ) </t>
  </si>
  <si>
    <t>มีจำนวน 10 โครงการ</t>
  </si>
  <si>
    <t>ยังไม่มีผลการดำเนินงาน</t>
  </si>
  <si>
    <t>รายได้ค่าสมัครสอบพนักงาน 1,350 บาท
รายได้ค่าเช่าพื้นที่ 9,000 บาท
รายได้ค่าเช่าห้องประชุม 5,940 บาท
ค่าใช้บริการเครื่องมือวิทยาศาสตร์  1,125 บาท 
รายได้เงินจากฟาร์ม 24,651 บาท 
รายได้เงินอุดหนุนจากแหล่งเงินทุนภายนอก 59,088.52 บาท</t>
  </si>
  <si>
    <t>ข้อมูลในระบบ E-Fin วันที่ 31 มีนาคม 2569</t>
  </si>
  <si>
    <t>จำนวนรับจริง 1,704,153.52 บาท ต่อประมาณการรายรับ จำนวน 6,590,740 บาท ข้อมูลในระบบ E-Fin วันที่ 31 มีนาคม 2569</t>
  </si>
  <si>
    <t xml:space="preserve">มีบัณฑิตตอบแบบสอบถาม จำนวน 91 คน มีงานทำ จำนวน 76 คน </t>
  </si>
  <si>
    <t>รอข้อมูลจากส่วนกลาง</t>
  </si>
  <si>
    <t>ลงระบบ e-GP ครบถ้วนทุกรายการเรียบร้อยแล้ว</t>
  </si>
  <si>
    <t>รอผลการประเมินของหลักสูตร</t>
  </si>
  <si>
    <t xml:space="preserve">	22.22</t>
  </si>
  <si>
    <t>อ้างอิงข้อมูลจากส่วนกลาง</t>
  </si>
  <si>
    <t>ร้อยละความสำเร็จเฉลี่ย</t>
  </si>
  <si>
    <t>รอข้อมูลนักศึกษาใหม่ระดับปริญญาตรี ปีการศึกษา 2569</t>
  </si>
  <si>
    <t>B. คณะมีเครือข่ายผู้ประกอบการด้านเทคโนโลยีและนวัตกรรม เพื่อเร่งพัฒนาผู้ประกอบการ ทั้งความร่วมมือจากหน่วยงานภายใน ได้แก่ อาคารแปรรูปนวัตกรรมการแปรรูปผลิตภัณฑ์ประมง (Nexfish Factory) ศูนย์ความเป็นเลิศด้านนวัตกรรมทางการเกษตรสำหรับบัณฑิตผู้ประกอบการ (Agri Inno) อุทยานวิทยาศาสตร์เทคโนโลยีเกษตรและอาหาร ม.แม่โจ้ (MAP) และภายนอกมหาวิทยาลัยแม่โจ้ ได้แก่ GO Wholesale (โก โฮลเซลล์) ศูนย์ค้าส่งอาหารเพื่อผู้ประกอบการ ภายใต้การดำเนินงานของ บริษัท เซ็นทรัล ฟู้ด โฮลเซลล์ จำกัด ในเครือเซ็นทรัล รีเทล</t>
  </si>
  <si>
    <t>E. คณะมี Platform กลางด้านเทคโนโลยีและนวัตกรรม เพื่อเร่งพัฒนาผู้ประกอบการ  โดยรูปแบบหลักๆ จะเป็นการสนับสนุนให้นักศึกษาได้เรียนรู้และได้รับประสบการณ์ ณ สถานที่จริงในด้านเทคโนโลยีนวัตกรรมและการเป็นผู้ประกอบการ ผ่านการเรียนรู้ในรูปแบบ Project-based learning ที่ส่งเสริมให้นักศึกษาทำงานร่วมกับผู้อื่นและเรียนรู้ด้วยการลงมือปฏิบัติ ตั้งแต่การการวางแผน การควบคุมการปฏิบัติให้เป็นไปตามแผน การแก้ปัญหา การประเมินการปฏิบัติ การสื่อสารและการนำเสนอ ด้วยการทำโครงงาน (Term Project) ในรายวิชา 10901114 วิทยาศาสตร์และเทคโนโลยีการประมงที่นำสมัย สำหรับนักศึกษาชั้นปีที่ 4 สาขาการประมงและนวัตกรรมการผลิตสัตว์น้ำ รวมทั้งจัดอบรมทั้งบรรยายและปฏิบัติการให้กับนักศึกษาได้เรียนรู้แนวทางในการเป็นผู้ประกอบการ การดำเนินธุรกิจ เปิดโอกาสให้นักศึกษาได้นำเสนอผลงาน (Pitching) ผลลัพธ์จากการดำเนินการตามแพลตฟอร์มดังกล่าวสามารถผลักดันให้ นักศึกษาสามารถนำองค์ความรู้ไปต่อยอด/พัฒนาสู่การการเป็นผู้ประกอบการได้ต่อไป</t>
  </si>
  <si>
    <t>นำงานวิจัย เรื่อง การขยายสเกลการผลิตและทดสอบทางคลินิกของผลิตภัณฑ์มูลค่าเพิ่มจากส่วนเหลือใช้การแปรรูปปลาลูกผสมบึกสยามแม่โจ้ ไปใช้ประโยชน์แก่บริษัท เซนทอล จำกัด</t>
  </si>
  <si>
    <t>รอบ 9 เดือน (1 ตุลาคม 2568 - 30 มิถุนายน 2569) คณะเทคโนโลยีการประมงและทรัพยากรทางน้ำ มหาวิทยาลัยแม่โจ้</t>
  </si>
  <si>
    <t xml:space="preserve">คณะเทคโนโลยีการประมงและทรัพยากรทางน้ำ รอบ 9 เดือน (1 ตุลาคม 2568 - 30 มิถุนายน 2569) </t>
  </si>
  <si>
    <t>ข้อมูลนักศึกษาใหม่ระดับปริญญาตรี ปีการศึกษา 2569</t>
  </si>
  <si>
    <t xml:space="preserve">คณะมีจำนวนรางวัลที่นักศึกษา บุคลากร ศิษย์เก่า หรือส่วนงาน ได้รับในระดับชาติ หรือนานาชาติ จำนวน 12 รางวัล ได้แก่
1. รางวัล Best Poster Presentation Award จากผลงาน เรื่อง Preliminary Study on Semantic Segmentation of Head, Tail, Fins, and Body of Nile Tilapia Using Deep Convolutional Neural Networks with Transfer Learning ของ รศ.ดร.นิสรา กิจเจริญ
2. รางวัลการนำเสนอผลงานภาคบรรยายระดับดีมาก เรื่อง การเปรียบเทียบสูตรอาหารที่เหมาะสมในการเพาะเลี้ยงคลอเรลล่าของ นายคณัสนันท์ จันต๊ะมงคล
3. รางวัลการนำเสนอผลงานภาคบรรยายระดับดีมาก เรื่อง แนวทางการเสริมสร้างศักยภาพธุรกิจปลาดุกในห่วงโซ่การผลิตพื้นที่อำเภอสันทราย จังหวัดเชียงใหม่ ของ นายชิณเสฏฐ์ เอี่ยมเมือง
4. รางวัลการนำเสนอผลงานภาคบรรยายระดับดี เรื่อง การพัฒนาสูตรอาหารปลานิลอินทรีย์จากวัตถุดินอินทรีย์เสริมชีวมวลไบโอฟลอค : การประเมินประสิทธิภาพการเจริญเติบโตและต้นทุนการผลิต ของ น.ส.พิชญาภา พิทักษ์วัชรีกุล
5. รางวัลการนำเสนอผลงานภาคบรรยายระดับดีมาก เรื่อง ประสิทธิภาพการเจริญเติบโตของปลานิลที่เลี้ยงด้วยอาหารผสมกากมะพร้าวหมักที่ระดับแตกต่างกัน ของ น.ส.พุทธิดา สมบูรณ์ชัย
6. รางวัลการนำเสนอผลงานภาคโปสเตอร์ระดับดีมาก เรื่อง ผลของชนิดพริก วิธีการทำแห้ง ชนิดของบรรจุภัณฑ์ และวิธีการฆ่าเชื้อที่มีต่อคุณลักษณะของน้ำพริกน้ำปู ของ น.ส.เพ็ญนภา ชูเยาว์
7. รางวัลการนำเสนอผลงานภาคบรรยายระดับดีเยี่ยม เรื่อง การศึกษาทางอนุกรมวิธาน และการค้นพบปลาค้อชนิดใหม่จากลำน้ำเข็ก อำเภอเขาค้อ จังหวัดเพชรบูรณ์ ของ นายภัคพล ชุมศิลป์
8. รางวัลการนำเสนอผลงานภาคโปสเตอร์ระดับดีเยี่ยม เรื่อง การพัฒนาผลิตภัณฑ์ปลาบึกทอดกรอบจากวัตถุดิบที่ผ่านการบ่มแบบเปียกโดยการคัดกรองปัจจัยด้วยการออกแบบการทดลองแบบ Plackett-Burman ของ อ.ดร.นงพงา แสงเจริญ
9. รางวัลระดับชาติเชิดชูเกียรติ "คนดีศรีเกษตร" งานกีฬาประเพณี 4 จอบ แห่งชาติ ครั้งที่ 40 
10. รางวัลระดับชาติเหรียญทอง "ทักษะการบรรจุพันธุ์ลูกปลา" งานกีฬาประเพณี 4 จอบ แห่งชาติ ครั้งที่ 40 
11. รางวัลระดับชาติเหรียญทอง "การประกวดโมเดลธุรกิจนวัตกรรมการเกษตร" งานกีฬาประเพณี 4 จอบ แห่งชาติ ครั้งที่ 40 
12. รางวัลระดับชาติเหรียญทอง "ทักษะการทอดแห" งานกีฬาประเพณี 4 จอบ แห่งชาติ ครั้งที่ 40 
13. รางวัลนำเสนอผลงานระดับนานาชาติ  BEST ORAL PRESENTATION AWARD เรื่อง “Performance of Selected Heterotrophic Bacteria in Different Formulations for Biofloc System Development in Nile Tilapia”
</t>
  </si>
  <si>
    <t>14. รางวัลประกวดผลงานนวัตกรรมระดับนานาชาติ SPECIAL AWARD เรื่อง From Manual to AI: Real-Time Fish Fry Counting System
15. รางวัลประกวดผลงานนวัตกรรมระดับนานาชาติ SILVER เรื่อง River Digital Twin with LSTM-Based Water Quality Forecasting for Cage Aquaculture Early Warning System along the Ping River, Thailand
16. รางวัลประกวดผลงานนวัตกรรมระดับนานาชาติ SPECIAL AWARD เรื่อง From Waste to Protein: Microbial Innovation for Zero Water-Exchange Aquaculture
17. รางวัลเหรียญทองแดง ฟรีสไตล์ 50 เมตร จากการแข่งขันกีฬาบุคลากรมหาวิทยาลัยแห่งประเทศไทย ครั้งที่ 42 “มศว เกมส์”
18. รางวัลเหรียญเงิน ผลัดฟรีสไตล์ 4x50 เมตร จากการแข่งขันกีฬาบุคลากรมหาวิทยาลัยแห่งประเทศไทย ครั้งที่ 42 “มศว เกมส์”
19. รางวัลเหรียญเงิน ผลัดผสม 4x50 เมตร จากการแข่งขันกีฬาบุคลากรมหาวิทยาลัยแห่งประเทศไทย ครั้งที่ 42 “มศว เกมส์”</t>
  </si>
  <si>
    <t>ปีงบประมาณ  2569 คณะฯ มีโครงการบริการวิชาการแก่สังคมตามแผนปฏิบัติการฯ จำนวน 10 โครงการ โดยมีโครงการบริการวิชาการ จำนวน 1 โครงการ ที่ได้นำองค์ความรู้ด้านบริการวิชาการไปบูรณาการเข้ากับพันธกิจอื่น ๆ ดังนั้น ผลการดำเนินงานจึงคิดเป็นร้อยละ 10 เมื่อนำมาเทียบบัญญัติไตรยางศ์ โดยกำหนดร้อยละ 30 เท่ากับ 5 คะแนน  ผลการดำเนินงานเท่ากับ 1.67 (ส่วนโครงการที่เหลืออยู่ระหว่างดำเนินการ)</t>
  </si>
  <si>
    <t xml:space="preserve">คณะเทคโนโลยีการประมงและทรัพยากรทางน้ำ ให้การต้อนรับกลุ่มนักศึกษา ในโครงการ “Agriculture Sustainability and Culture Exchange Program” จำนวน 26 คน โดยมี รศ.ดร.นิสรา กิจเจริญ บรรยายเรื่องการจัดการความเสี่ยง รศ.ดร.อภินันท์ สุวรรณรักษ์ บรรยายเรื่อง แนวทางการศึกษาชนิดพันธุ์ปลาเพื่อการอนุรักษ์สิ่งแวดล้อมและความยั่งยืนของทรัพยากรทางน้ำ และเข้าเยี่ยมชมฐาน Museum, SAB และ Biofloc วันที่ 9 กุมภาพันธ์ 2569 </t>
  </si>
  <si>
    <t xml:space="preserve">รศ.ดร.นิสรา กิจเจริญ ได้บรรยายเรื่อง Sustainable Fish Farming Management and Risk Control ให้แก่กลุ่มนักศึกษา ในโครงการ “Agriculture Sustainability and Culture Exchange Program” ในวันที่ 9 กุมภาพันธ์ 2569 </t>
  </si>
  <si>
    <t>จำนวนรับจริง 2,419,885.81 บาท ต่อประมาณการรายรับ จำนวน 6,590,740 บาท ข้อมูลในระบบ E-Fin วันที่ 31 พฤษภาคม 2569</t>
  </si>
  <si>
    <t>รอบ 9 เดือน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</si>
</sst>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8" x14ac:knownFonts="1">
    <font>
      <sz val="11"/>
      <color theme="1"/>
      <name val="Tahoma"/>
      <family val="2"/>
      <charset val="222"/>
      <scheme val="minor"/>
    </font>
    <font>
      <sz val="12"/>
      <color theme="1"/>
      <name val="TH SarabunPSK"/>
      <family val="2"/>
    </font>
    <font>
      <sz val="16"/>
      <color theme="1"/>
      <name val="TH SarabunPSK"/>
      <family val="2"/>
    </font>
    <font>
      <b/>
      <sz val="16"/>
      <color theme="1"/>
      <name val="TH SarabunPSK"/>
      <family val="2"/>
    </font>
    <font>
      <b/>
      <sz val="14"/>
      <color theme="1"/>
      <name val="TH SarabunPSK"/>
      <family val="2"/>
    </font>
    <font>
      <b/>
      <sz val="14"/>
      <color rgb="FF000000"/>
      <name val="TH SarabunPSK"/>
      <family val="2"/>
    </font>
    <font>
      <sz val="14"/>
      <color theme="1"/>
      <name val="Tahoma"/>
      <family val="2"/>
      <charset val="222"/>
      <scheme val="minor"/>
    </font>
    <font>
      <sz val="14"/>
      <color theme="1"/>
      <name val="TH SarabunPSK"/>
      <family val="2"/>
    </font>
    <font>
      <sz val="14"/>
      <color rgb="FF000000"/>
      <name val="TH SarabunPSK"/>
      <family val="2"/>
    </font>
    <font>
      <sz val="14"/>
      <color theme="1"/>
      <name val="Calibri"/>
      <family val="2"/>
    </font>
    <font>
      <sz val="10"/>
      <name val="Arial"/>
      <family val="2"/>
    </font>
    <font>
      <sz val="16"/>
      <name val="TH SarabunPSK"/>
      <family val="2"/>
    </font>
    <font>
      <b/>
      <sz val="16"/>
      <name val="TH SarabunPSK"/>
      <family val="2"/>
    </font>
    <font>
      <sz val="12"/>
      <color theme="1"/>
      <name val="Tahoma"/>
      <family val="2"/>
      <charset val="222"/>
      <scheme val="minor"/>
    </font>
    <font>
      <sz val="11"/>
      <color theme="1"/>
      <name val="Tahoma"/>
      <family val="2"/>
      <charset val="222"/>
      <scheme val="minor"/>
    </font>
    <font>
      <u/>
      <sz val="11"/>
      <color theme="10"/>
      <name val="Tahoma"/>
      <family val="2"/>
      <charset val="222"/>
      <scheme val="minor"/>
    </font>
    <font>
      <u/>
      <sz val="12"/>
      <name val="TH SarabunPSK"/>
      <family val="2"/>
    </font>
    <font>
      <sz val="14"/>
      <color theme="1"/>
      <name val="TH SarabunPSK"/>
      <family val="2"/>
      <charset val="222"/>
    </font>
    <font>
      <u/>
      <sz val="12"/>
      <color theme="1"/>
      <name val="TH SarabunPSK"/>
      <family val="2"/>
    </font>
    <font>
      <u/>
      <sz val="12"/>
      <color theme="1"/>
      <name val="Tahoma"/>
      <family val="2"/>
      <charset val="222"/>
      <scheme val="minor"/>
    </font>
    <font>
      <sz val="11"/>
      <color theme="1"/>
      <name val="Tahoma"/>
      <family val="2"/>
      <scheme val="minor"/>
    </font>
    <font>
      <u/>
      <sz val="9"/>
      <name val="TH SarabunPSK"/>
      <family val="2"/>
    </font>
    <font>
      <u/>
      <sz val="11"/>
      <name val="TH SarabunPSK"/>
      <family val="2"/>
    </font>
    <font>
      <sz val="11"/>
      <color theme="1"/>
      <name val="TH SarabunPSK"/>
      <family val="2"/>
    </font>
    <font>
      <sz val="9"/>
      <color theme="1"/>
      <name val="TH SarabunPSK"/>
      <family val="2"/>
    </font>
    <font>
      <b/>
      <sz val="12"/>
      <color rgb="FF000000"/>
      <name val="TH SarabunPSK"/>
      <family val="2"/>
    </font>
    <font>
      <sz val="12"/>
      <color rgb="FF000000"/>
      <name val="TH SarabunPSK"/>
      <family val="2"/>
    </font>
    <font>
      <sz val="12"/>
      <color rgb="FFFF0000"/>
      <name val="TH SarabunPSK"/>
      <family val="2"/>
    </font>
  </fonts>
  <fills count="10">
    <fill>
      <patternFill patternType="none"/>
    </fill>
    <fill>
      <patternFill patternType="gray125"/>
    </fill>
    <fill>
      <patternFill patternType="solid">
        <fgColor rgb="FFE2EFD9"/>
        <bgColor indexed="64"/>
      </patternFill>
    </fill>
    <fill>
      <patternFill patternType="solid">
        <fgColor rgb="FFE2EFDA"/>
        <bgColor indexed="64"/>
      </patternFill>
    </fill>
    <fill>
      <patternFill patternType="solid">
        <fgColor rgb="FFFFFFCC"/>
        <bgColor indexed="64"/>
      </patternFill>
    </fill>
    <fill>
      <patternFill patternType="solid">
        <fgColor rgb="FFDDEBF7"/>
        <bgColor indexed="64"/>
      </patternFill>
    </fill>
    <fill>
      <patternFill patternType="solid">
        <fgColor rgb="FFFFFFFF"/>
        <bgColor indexed="64"/>
      </patternFill>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6">
    <xf numFmtId="0" fontId="0" fillId="0" borderId="0"/>
    <xf numFmtId="0" fontId="10" fillId="0" borderId="0"/>
    <xf numFmtId="0" fontId="10" fillId="0" borderId="0"/>
    <xf numFmtId="43" fontId="14" fillId="0" borderId="0" applyFont="0" applyFill="0" applyBorder="0" applyAlignment="0" applyProtection="0"/>
    <xf numFmtId="0" fontId="15" fillId="0" borderId="0" applyNumberFormat="0" applyFill="0" applyBorder="0" applyAlignment="0" applyProtection="0"/>
    <xf numFmtId="0" fontId="20" fillId="0" borderId="0"/>
  </cellStyleXfs>
  <cellXfs count="158">
    <xf numFmtId="0" fontId="0" fillId="0" borderId="0" xfId="0"/>
    <xf numFmtId="0" fontId="1" fillId="0" borderId="1" xfId="0" applyFont="1" applyBorder="1" applyAlignment="1">
      <alignment vertical="top" wrapText="1"/>
    </xf>
    <xf numFmtId="0" fontId="4" fillId="0" borderId="0" xfId="0" applyFont="1" applyAlignment="1">
      <alignment vertical="top"/>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0" xfId="0" applyFont="1" applyAlignment="1">
      <alignment vertical="top"/>
    </xf>
    <xf numFmtId="0" fontId="7" fillId="0" borderId="1" xfId="0" applyFont="1" applyBorder="1" applyAlignment="1">
      <alignment vertical="top" wrapText="1"/>
    </xf>
    <xf numFmtId="0" fontId="7" fillId="0" borderId="1" xfId="0" applyFont="1" applyBorder="1" applyAlignment="1">
      <alignment horizontal="center" vertical="top" wrapText="1"/>
    </xf>
    <xf numFmtId="0" fontId="8" fillId="6" borderId="1" xfId="0" applyFont="1" applyFill="1" applyBorder="1" applyAlignment="1">
      <alignment vertical="top" wrapText="1"/>
    </xf>
    <xf numFmtId="3" fontId="7" fillId="0" borderId="1" xfId="0" applyNumberFormat="1" applyFont="1" applyBorder="1" applyAlignment="1">
      <alignment horizontal="center" vertical="top" wrapText="1"/>
    </xf>
    <xf numFmtId="0" fontId="9" fillId="0" borderId="1" xfId="0" applyFont="1" applyBorder="1" applyAlignment="1">
      <alignment vertical="top" wrapText="1"/>
    </xf>
    <xf numFmtId="0" fontId="4" fillId="0" borderId="1" xfId="0" applyFont="1" applyBorder="1" applyAlignment="1">
      <alignment vertical="top" wrapText="1"/>
    </xf>
    <xf numFmtId="0" fontId="8" fillId="0" borderId="1" xfId="0" applyFont="1" applyBorder="1" applyAlignment="1">
      <alignment horizontal="center" vertical="top" wrapText="1"/>
    </xf>
    <xf numFmtId="0" fontId="4" fillId="0" borderId="1" xfId="0" applyFont="1" applyBorder="1" applyAlignment="1">
      <alignment horizontal="center" vertical="top" wrapText="1"/>
    </xf>
    <xf numFmtId="0" fontId="7" fillId="6" borderId="1" xfId="0" applyFont="1" applyFill="1" applyBorder="1" applyAlignment="1">
      <alignment vertical="top" wrapText="1"/>
    </xf>
    <xf numFmtId="3" fontId="7" fillId="0" borderId="1" xfId="0" applyNumberFormat="1" applyFont="1" applyBorder="1" applyAlignment="1">
      <alignment vertical="top" wrapText="1"/>
    </xf>
    <xf numFmtId="0" fontId="7" fillId="0" borderId="1" xfId="0" applyFont="1" applyBorder="1" applyAlignment="1">
      <alignment horizontal="center" vertical="top"/>
    </xf>
    <xf numFmtId="0" fontId="11" fillId="0" borderId="0" xfId="1" applyFont="1"/>
    <xf numFmtId="0" fontId="11" fillId="0" borderId="0" xfId="1" applyFont="1" applyAlignment="1">
      <alignment horizontal="center" vertical="top" wrapText="1"/>
    </xf>
    <xf numFmtId="0" fontId="3" fillId="7" borderId="1" xfId="1" applyFont="1" applyFill="1" applyBorder="1" applyAlignment="1">
      <alignment horizontal="center" vertical="center" wrapText="1"/>
    </xf>
    <xf numFmtId="0" fontId="3" fillId="7" borderId="1" xfId="2" applyFont="1" applyFill="1" applyBorder="1" applyAlignment="1">
      <alignment horizontal="center" vertical="center" wrapText="1"/>
    </xf>
    <xf numFmtId="0" fontId="12" fillId="0" borderId="1" xfId="1" applyFont="1" applyBorder="1" applyAlignment="1">
      <alignment vertical="top" wrapText="1"/>
    </xf>
    <xf numFmtId="0" fontId="12" fillId="0" borderId="1" xfId="2" applyFont="1" applyBorder="1" applyAlignment="1">
      <alignment horizontal="center" vertical="top" wrapText="1"/>
    </xf>
    <xf numFmtId="2" fontId="12" fillId="0" borderId="1" xfId="2" applyNumberFormat="1" applyFont="1" applyBorder="1" applyAlignment="1">
      <alignment horizontal="center" vertical="top" wrapText="1"/>
    </xf>
    <xf numFmtId="0" fontId="11" fillId="0" borderId="1" xfId="1" applyFont="1" applyBorder="1" applyAlignment="1">
      <alignment horizontal="left" vertical="top" wrapText="1"/>
    </xf>
    <xf numFmtId="0" fontId="12" fillId="0" borderId="0" xfId="1" applyFont="1"/>
    <xf numFmtId="0" fontId="12" fillId="0" borderId="1" xfId="1" applyFont="1" applyBorder="1" applyAlignment="1">
      <alignment horizontal="center" vertical="top" wrapText="1"/>
    </xf>
    <xf numFmtId="2" fontId="12" fillId="0" borderId="0" xfId="1" applyNumberFormat="1" applyFont="1"/>
    <xf numFmtId="0" fontId="11" fillId="0" borderId="1" xfId="1" applyFont="1" applyBorder="1" applyAlignment="1">
      <alignment vertical="top" wrapText="1"/>
    </xf>
    <xf numFmtId="0" fontId="11" fillId="0" borderId="1" xfId="2" applyFont="1" applyBorder="1" applyAlignment="1">
      <alignment horizontal="center" vertical="top" wrapText="1"/>
    </xf>
    <xf numFmtId="2" fontId="11" fillId="0" borderId="1" xfId="2" applyNumberFormat="1" applyFont="1" applyBorder="1" applyAlignment="1">
      <alignment horizontal="center" vertical="top" wrapText="1"/>
    </xf>
    <xf numFmtId="0" fontId="11" fillId="0" borderId="1" xfId="1" applyFont="1" applyBorder="1" applyAlignment="1">
      <alignment horizontal="center" vertical="top" wrapText="1"/>
    </xf>
    <xf numFmtId="0" fontId="3" fillId="8" borderId="1" xfId="1" applyFont="1" applyFill="1" applyBorder="1" applyAlignment="1">
      <alignment horizontal="center" vertical="center" wrapText="1"/>
    </xf>
    <xf numFmtId="0" fontId="12" fillId="8" borderId="1" xfId="2" applyFont="1" applyFill="1" applyBorder="1" applyAlignment="1">
      <alignment horizontal="center" vertical="center" wrapText="1"/>
    </xf>
    <xf numFmtId="2" fontId="12" fillId="8" borderId="1" xfId="2" applyNumberFormat="1" applyFont="1" applyFill="1" applyBorder="1" applyAlignment="1">
      <alignment horizontal="center" vertical="center" wrapText="1"/>
    </xf>
    <xf numFmtId="2" fontId="3" fillId="8" borderId="1" xfId="1" applyNumberFormat="1" applyFont="1" applyFill="1" applyBorder="1" applyAlignment="1">
      <alignment horizontal="center" vertical="center"/>
    </xf>
    <xf numFmtId="0" fontId="11" fillId="8" borderId="1" xfId="1" applyFont="1" applyFill="1" applyBorder="1" applyAlignment="1">
      <alignment vertical="center"/>
    </xf>
    <xf numFmtId="0" fontId="11" fillId="0" borderId="0" xfId="1" applyFont="1" applyAlignment="1">
      <alignment vertical="center"/>
    </xf>
    <xf numFmtId="0" fontId="3" fillId="8" borderId="1" xfId="1" applyFont="1" applyFill="1" applyBorder="1" applyAlignment="1">
      <alignment horizontal="center" vertical="center"/>
    </xf>
    <xf numFmtId="0" fontId="2" fillId="8" borderId="1" xfId="1" applyFont="1" applyFill="1" applyBorder="1" applyAlignment="1">
      <alignment vertical="center"/>
    </xf>
    <xf numFmtId="0" fontId="2" fillId="0" borderId="0" xfId="1" applyFont="1" applyAlignment="1">
      <alignment vertical="top" wrapText="1"/>
    </xf>
    <xf numFmtId="0" fontId="2" fillId="0" borderId="0" xfId="1" applyFont="1"/>
    <xf numFmtId="0" fontId="1" fillId="0" borderId="1" xfId="0" applyFont="1" applyBorder="1" applyAlignment="1">
      <alignment horizontal="left" vertical="top" wrapText="1"/>
    </xf>
    <xf numFmtId="3" fontId="1" fillId="0" borderId="1" xfId="0" applyNumberFormat="1" applyFont="1" applyBorder="1" applyAlignment="1">
      <alignment horizontal="left" vertical="top" wrapText="1"/>
    </xf>
    <xf numFmtId="0" fontId="13" fillId="0" borderId="0" xfId="0" applyFont="1" applyAlignment="1">
      <alignment vertical="top"/>
    </xf>
    <xf numFmtId="2" fontId="7" fillId="0" borderId="1" xfId="0" applyNumberFormat="1" applyFont="1" applyBorder="1" applyAlignment="1">
      <alignment horizontal="center" vertical="top" wrapText="1"/>
    </xf>
    <xf numFmtId="0" fontId="6" fillId="0" borderId="0" xfId="0" applyFont="1" applyAlignment="1">
      <alignment horizontal="center" vertical="top"/>
    </xf>
    <xf numFmtId="0" fontId="8" fillId="6" borderId="1" xfId="0" applyFont="1" applyFill="1" applyBorder="1" applyAlignment="1">
      <alignment horizontal="center" vertical="top" wrapText="1"/>
    </xf>
    <xf numFmtId="3" fontId="8" fillId="6" borderId="1" xfId="0" applyNumberFormat="1" applyFont="1" applyFill="1" applyBorder="1" applyAlignment="1">
      <alignment horizontal="center" vertical="top" wrapText="1"/>
    </xf>
    <xf numFmtId="4" fontId="8" fillId="6" borderId="1" xfId="3" applyNumberFormat="1" applyFont="1" applyFill="1" applyBorder="1" applyAlignment="1">
      <alignment horizontal="center" vertical="top" wrapText="1"/>
    </xf>
    <xf numFmtId="0" fontId="16" fillId="0" borderId="1" xfId="4" applyFont="1" applyFill="1" applyBorder="1" applyAlignment="1">
      <alignment vertical="top" wrapText="1"/>
    </xf>
    <xf numFmtId="0" fontId="17" fillId="0" borderId="1" xfId="0" applyFont="1" applyBorder="1" applyAlignment="1">
      <alignment horizontal="center" vertical="top" wrapText="1"/>
    </xf>
    <xf numFmtId="3" fontId="17" fillId="0" borderId="1" xfId="0" applyNumberFormat="1" applyFont="1" applyBorder="1" applyAlignment="1">
      <alignment horizontal="center" vertical="top" wrapText="1"/>
    </xf>
    <xf numFmtId="0" fontId="17" fillId="0" borderId="1" xfId="0" applyFont="1" applyBorder="1" applyAlignment="1">
      <alignment horizontal="center" vertical="top"/>
    </xf>
    <xf numFmtId="0" fontId="7" fillId="0" borderId="3" xfId="0" applyFont="1" applyBorder="1" applyAlignment="1">
      <alignment vertical="top" wrapText="1"/>
    </xf>
    <xf numFmtId="0" fontId="7" fillId="0" borderId="10" xfId="0" applyFont="1" applyBorder="1" applyAlignment="1">
      <alignment vertical="top" wrapText="1"/>
    </xf>
    <xf numFmtId="0" fontId="8" fillId="0" borderId="3" xfId="0" applyFont="1" applyBorder="1" applyAlignment="1">
      <alignment horizontal="center" vertical="top" wrapText="1"/>
    </xf>
    <xf numFmtId="0" fontId="17" fillId="0" borderId="3" xfId="0" applyFont="1" applyBorder="1" applyAlignment="1">
      <alignment horizontal="center" vertical="top" wrapText="1"/>
    </xf>
    <xf numFmtId="0" fontId="8" fillId="6" borderId="3" xfId="0" applyFont="1" applyFill="1" applyBorder="1" applyAlignment="1">
      <alignment horizontal="center" vertical="top" wrapText="1"/>
    </xf>
    <xf numFmtId="2" fontId="7" fillId="0" borderId="3" xfId="0" applyNumberFormat="1" applyFont="1" applyBorder="1" applyAlignment="1">
      <alignment horizontal="center" vertical="top" wrapText="1"/>
    </xf>
    <xf numFmtId="0" fontId="8" fillId="0" borderId="10" xfId="0" applyFont="1" applyBorder="1" applyAlignment="1">
      <alignment horizontal="center" vertical="top" wrapText="1"/>
    </xf>
    <xf numFmtId="0" fontId="17" fillId="0" borderId="10" xfId="0" applyFont="1" applyBorder="1" applyAlignment="1">
      <alignment horizontal="center" vertical="top" wrapText="1"/>
    </xf>
    <xf numFmtId="0" fontId="8" fillId="6" borderId="10" xfId="0" applyFont="1" applyFill="1" applyBorder="1" applyAlignment="1">
      <alignment horizontal="center" vertical="top" wrapText="1"/>
    </xf>
    <xf numFmtId="2" fontId="7" fillId="0" borderId="10" xfId="0" applyNumberFormat="1" applyFont="1" applyBorder="1" applyAlignment="1">
      <alignment horizontal="center" vertical="top" wrapText="1"/>
    </xf>
    <xf numFmtId="0" fontId="7" fillId="0" borderId="7" xfId="0" applyFont="1" applyBorder="1" applyAlignment="1">
      <alignment vertical="top" wrapText="1"/>
    </xf>
    <xf numFmtId="0" fontId="8" fillId="0" borderId="7" xfId="0" applyFont="1" applyBorder="1" applyAlignment="1">
      <alignment horizontal="center" vertical="top" wrapText="1"/>
    </xf>
    <xf numFmtId="0" fontId="17" fillId="0" borderId="7" xfId="0" applyFont="1" applyBorder="1" applyAlignment="1">
      <alignment horizontal="center" vertical="top" wrapText="1"/>
    </xf>
    <xf numFmtId="0" fontId="8" fillId="6" borderId="7" xfId="0" applyFont="1" applyFill="1" applyBorder="1" applyAlignment="1">
      <alignment horizontal="center" vertical="top" wrapText="1"/>
    </xf>
    <xf numFmtId="2" fontId="7" fillId="0" borderId="7" xfId="0" applyNumberFormat="1" applyFont="1" applyBorder="1" applyAlignment="1">
      <alignment horizontal="center" vertical="top" wrapText="1"/>
    </xf>
    <xf numFmtId="0" fontId="1" fillId="0" borderId="3" xfId="0" applyFont="1" applyBorder="1" applyAlignment="1">
      <alignment vertical="top" wrapText="1"/>
    </xf>
    <xf numFmtId="0" fontId="1" fillId="0" borderId="7" xfId="0" applyFont="1" applyBorder="1" applyAlignment="1">
      <alignment vertical="top" wrapText="1"/>
    </xf>
    <xf numFmtId="0" fontId="7" fillId="0" borderId="3" xfId="0" applyFont="1" applyBorder="1" applyAlignment="1">
      <alignment horizontal="center" vertical="top" wrapText="1"/>
    </xf>
    <xf numFmtId="0" fontId="7" fillId="0" borderId="10" xfId="0" applyFont="1" applyBorder="1" applyAlignment="1">
      <alignment horizontal="center" vertical="top" wrapText="1"/>
    </xf>
    <xf numFmtId="0" fontId="1" fillId="0" borderId="3" xfId="0" applyFont="1" applyBorder="1" applyAlignment="1">
      <alignment horizontal="left" vertical="top" wrapText="1"/>
    </xf>
    <xf numFmtId="0" fontId="1" fillId="0" borderId="10" xfId="0" applyFont="1" applyBorder="1" applyAlignment="1">
      <alignment horizontal="left" vertical="top" wrapText="1"/>
    </xf>
    <xf numFmtId="0" fontId="7" fillId="6" borderId="3" xfId="0" applyFont="1" applyFill="1" applyBorder="1" applyAlignment="1">
      <alignment horizontal="center" vertical="top" wrapText="1"/>
    </xf>
    <xf numFmtId="0" fontId="7" fillId="6" borderId="10" xfId="0" applyFont="1" applyFill="1" applyBorder="1" applyAlignment="1">
      <alignment horizontal="center" vertical="top" wrapText="1"/>
    </xf>
    <xf numFmtId="0" fontId="16" fillId="0" borderId="0" xfId="4" applyFont="1" applyFill="1" applyAlignment="1">
      <alignment vertical="top" wrapText="1"/>
    </xf>
    <xf numFmtId="0" fontId="16" fillId="0" borderId="1" xfId="4" applyFont="1" applyBorder="1" applyAlignment="1">
      <alignment horizontal="left" vertical="top" wrapText="1"/>
    </xf>
    <xf numFmtId="0" fontId="16" fillId="0" borderId="1" xfId="4" applyFont="1" applyBorder="1" applyAlignment="1">
      <alignment vertical="top" wrapText="1"/>
    </xf>
    <xf numFmtId="0" fontId="18" fillId="0" borderId="1" xfId="4" applyFont="1" applyBorder="1" applyAlignment="1">
      <alignment horizontal="left" vertical="top" wrapText="1"/>
    </xf>
    <xf numFmtId="3" fontId="18" fillId="0" borderId="1" xfId="0" applyNumberFormat="1" applyFont="1" applyBorder="1" applyAlignment="1">
      <alignment horizontal="left" vertical="top" wrapText="1"/>
    </xf>
    <xf numFmtId="0" fontId="18" fillId="0" borderId="1" xfId="0" applyFont="1" applyBorder="1" applyAlignment="1">
      <alignment horizontal="left" vertical="top" wrapText="1"/>
    </xf>
    <xf numFmtId="0" fontId="18" fillId="0" borderId="1" xfId="4" applyFont="1" applyBorder="1" applyAlignment="1">
      <alignment vertical="top" wrapText="1"/>
    </xf>
    <xf numFmtId="0" fontId="19" fillId="0" borderId="0" xfId="0" applyFont="1" applyAlignment="1">
      <alignment vertical="top"/>
    </xf>
    <xf numFmtId="4" fontId="8" fillId="6" borderId="1" xfId="0" applyNumberFormat="1" applyFont="1" applyFill="1" applyBorder="1" applyAlignment="1">
      <alignment horizontal="center" vertical="top" wrapText="1"/>
    </xf>
    <xf numFmtId="43" fontId="8" fillId="6" borderId="1" xfId="3" applyFont="1" applyFill="1" applyBorder="1" applyAlignment="1">
      <alignment horizontal="center" vertical="top" wrapText="1"/>
    </xf>
    <xf numFmtId="43" fontId="17" fillId="0" borderId="1" xfId="3" applyFont="1" applyBorder="1" applyAlignment="1">
      <alignment vertical="top" wrapText="1"/>
    </xf>
    <xf numFmtId="2" fontId="11" fillId="0" borderId="1" xfId="1" applyNumberFormat="1" applyFont="1" applyBorder="1" applyAlignment="1">
      <alignment horizontal="left" vertical="top" wrapText="1"/>
    </xf>
    <xf numFmtId="2" fontId="12" fillId="9" borderId="1" xfId="5" applyNumberFormat="1" applyFont="1" applyFill="1" applyBorder="1" applyAlignment="1">
      <alignment horizontal="center" vertical="center" wrapText="1"/>
    </xf>
    <xf numFmtId="0" fontId="11" fillId="0" borderId="0" xfId="5" applyFont="1" applyAlignment="1">
      <alignment horizontal="center"/>
    </xf>
    <xf numFmtId="0" fontId="12" fillId="0" borderId="0" xfId="5" applyFont="1" applyAlignment="1">
      <alignment horizontal="center" vertical="top" wrapText="1"/>
    </xf>
    <xf numFmtId="2" fontId="12" fillId="0" borderId="0" xfId="5" applyNumberFormat="1" applyFont="1" applyAlignment="1">
      <alignment horizontal="center" vertical="top" wrapText="1"/>
    </xf>
    <xf numFmtId="0" fontId="7" fillId="0" borderId="7" xfId="0" applyFont="1" applyBorder="1" applyAlignment="1">
      <alignment horizontal="center" vertical="top" wrapText="1"/>
    </xf>
    <xf numFmtId="0" fontId="7" fillId="6" borderId="7" xfId="0" applyFont="1" applyFill="1" applyBorder="1" applyAlignment="1">
      <alignment horizontal="center" vertical="top" wrapText="1"/>
    </xf>
    <xf numFmtId="2" fontId="7" fillId="0" borderId="12" xfId="0" applyNumberFormat="1" applyFont="1" applyBorder="1" applyAlignment="1">
      <alignment horizontal="center" vertical="top"/>
    </xf>
    <xf numFmtId="0" fontId="21" fillId="0" borderId="1" xfId="4" applyFont="1" applyFill="1" applyBorder="1" applyAlignment="1">
      <alignment vertical="top" wrapText="1"/>
    </xf>
    <xf numFmtId="0" fontId="16" fillId="0" borderId="10" xfId="4" applyFont="1" applyBorder="1" applyAlignment="1">
      <alignment vertical="top" wrapText="1"/>
    </xf>
    <xf numFmtId="0" fontId="1" fillId="0" borderId="10" xfId="0" applyFont="1" applyBorder="1" applyAlignment="1">
      <alignment vertical="top" wrapText="1"/>
    </xf>
    <xf numFmtId="2" fontId="8" fillId="6" borderId="1" xfId="0" applyNumberFormat="1" applyFont="1" applyFill="1" applyBorder="1" applyAlignment="1">
      <alignment horizontal="center" vertical="top" wrapText="1"/>
    </xf>
    <xf numFmtId="0" fontId="22" fillId="0" borderId="1" xfId="4" applyFont="1" applyFill="1" applyBorder="1" applyAlignment="1">
      <alignment vertical="top" wrapText="1"/>
    </xf>
    <xf numFmtId="0" fontId="23" fillId="0" borderId="1" xfId="0" applyFont="1" applyBorder="1" applyAlignment="1">
      <alignment horizontal="left" vertical="top" wrapText="1"/>
    </xf>
    <xf numFmtId="3" fontId="24" fillId="0" borderId="1" xfId="0" applyNumberFormat="1" applyFont="1" applyBorder="1" applyAlignment="1">
      <alignment horizontal="left" vertical="top" wrapText="1"/>
    </xf>
    <xf numFmtId="0" fontId="3" fillId="0" borderId="0" xfId="0" applyFont="1" applyAlignment="1">
      <alignment horizontal="center" vertical="center"/>
    </xf>
    <xf numFmtId="0" fontId="1" fillId="0" borderId="7" xfId="0" applyFont="1" applyBorder="1" applyAlignment="1">
      <alignment horizontal="left" vertical="top" wrapText="1"/>
    </xf>
    <xf numFmtId="0" fontId="25" fillId="2" borderId="1" xfId="0" applyFont="1" applyFill="1" applyBorder="1" applyAlignment="1">
      <alignment horizontal="center" vertical="center" wrapText="1"/>
    </xf>
    <xf numFmtId="0" fontId="1" fillId="0" borderId="1" xfId="0" applyFont="1" applyBorder="1" applyAlignment="1">
      <alignment horizontal="center" vertical="top" wrapText="1"/>
    </xf>
    <xf numFmtId="0" fontId="26" fillId="0" borderId="1" xfId="0" applyFont="1" applyBorder="1" applyAlignment="1">
      <alignment horizontal="center" vertical="top" wrapText="1"/>
    </xf>
    <xf numFmtId="0" fontId="26" fillId="0" borderId="10" xfId="0" applyFont="1" applyBorder="1" applyAlignment="1">
      <alignment horizontal="center" vertical="top" wrapText="1"/>
    </xf>
    <xf numFmtId="0" fontId="26" fillId="0" borderId="3" xfId="0" applyFont="1" applyBorder="1" applyAlignment="1">
      <alignment horizontal="center" vertical="top" wrapText="1"/>
    </xf>
    <xf numFmtId="0" fontId="26" fillId="0" borderId="7" xfId="0" applyFont="1" applyBorder="1" applyAlignment="1">
      <alignment horizontal="center" vertical="top" wrapText="1"/>
    </xf>
    <xf numFmtId="0" fontId="1" fillId="0" borderId="3" xfId="0" applyFont="1" applyBorder="1" applyAlignment="1">
      <alignment horizontal="center" vertical="top" wrapText="1"/>
    </xf>
    <xf numFmtId="0" fontId="1" fillId="0" borderId="10" xfId="0" applyFont="1" applyBorder="1" applyAlignment="1">
      <alignment horizontal="center" vertical="top" wrapText="1"/>
    </xf>
    <xf numFmtId="0" fontId="1" fillId="0" borderId="7" xfId="0" applyFont="1" applyBorder="1" applyAlignment="1">
      <alignment horizontal="center" vertical="top" wrapText="1"/>
    </xf>
    <xf numFmtId="0" fontId="21" fillId="0" borderId="0" xfId="4" applyFont="1" applyAlignment="1">
      <alignment horizontal="left" vertical="top" wrapText="1"/>
    </xf>
    <xf numFmtId="0" fontId="21" fillId="0" borderId="1" xfId="4" applyFont="1" applyBorder="1" applyAlignment="1">
      <alignment horizontal="left" vertical="top" wrapText="1"/>
    </xf>
    <xf numFmtId="3" fontId="16" fillId="0" borderId="1" xfId="4" applyNumberFormat="1" applyFont="1" applyBorder="1" applyAlignment="1">
      <alignment horizontal="left" vertical="top" wrapText="1"/>
    </xf>
    <xf numFmtId="0" fontId="27" fillId="0" borderId="1" xfId="0" applyFont="1" applyBorder="1" applyAlignment="1">
      <alignment horizontal="left" vertical="top" wrapText="1"/>
    </xf>
    <xf numFmtId="0" fontId="5" fillId="5" borderId="1" xfId="0" applyFont="1" applyFill="1" applyBorder="1" applyAlignment="1">
      <alignment vertical="top"/>
    </xf>
    <xf numFmtId="0" fontId="4" fillId="0" borderId="0" xfId="0" applyFont="1" applyAlignment="1">
      <alignment horizontal="center" vertical="center"/>
    </xf>
    <xf numFmtId="0" fontId="4" fillId="0" borderId="2" xfId="0" applyFont="1" applyBorder="1" applyAlignment="1">
      <alignment horizontal="center" vertical="center"/>
    </xf>
    <xf numFmtId="0" fontId="5" fillId="4" borderId="1" xfId="0" applyFont="1" applyFill="1" applyBorder="1" applyAlignment="1">
      <alignment vertical="top"/>
    </xf>
    <xf numFmtId="0" fontId="5" fillId="4" borderId="1" xfId="0" applyFont="1" applyFill="1" applyBorder="1" applyAlignment="1">
      <alignment vertical="top" wrapText="1"/>
    </xf>
    <xf numFmtId="0" fontId="12" fillId="9" borderId="11" xfId="5" applyFont="1" applyFill="1" applyBorder="1" applyAlignment="1">
      <alignment horizontal="center" vertical="center" wrapText="1"/>
    </xf>
    <xf numFmtId="0" fontId="12" fillId="9" borderId="12" xfId="5" applyFont="1" applyFill="1" applyBorder="1" applyAlignment="1">
      <alignment horizontal="center" vertical="center" wrapText="1"/>
    </xf>
    <xf numFmtId="0" fontId="12" fillId="9" borderId="13" xfId="5" applyFont="1" applyFill="1" applyBorder="1" applyAlignment="1">
      <alignment horizontal="center" vertical="center" wrapText="1"/>
    </xf>
    <xf numFmtId="0" fontId="7" fillId="0" borderId="3" xfId="0" applyFont="1" applyBorder="1" applyAlignment="1">
      <alignment horizontal="left" vertical="top" wrapText="1"/>
    </xf>
    <xf numFmtId="0" fontId="7" fillId="0" borderId="7" xfId="0" applyFont="1" applyBorder="1" applyAlignment="1">
      <alignment horizontal="left" vertical="top" wrapText="1"/>
    </xf>
    <xf numFmtId="0" fontId="7" fillId="0" borderId="10" xfId="0" applyFont="1" applyBorder="1" applyAlignment="1">
      <alignment horizontal="left" vertical="top" wrapText="1"/>
    </xf>
    <xf numFmtId="0" fontId="1" fillId="0" borderId="3" xfId="0" applyFont="1" applyBorder="1" applyAlignment="1">
      <alignment horizontal="center" vertical="top" wrapText="1"/>
    </xf>
    <xf numFmtId="0" fontId="1" fillId="0" borderId="10" xfId="0" applyFont="1" applyBorder="1" applyAlignment="1">
      <alignment horizontal="center" vertical="top" wrapText="1"/>
    </xf>
    <xf numFmtId="0" fontId="17" fillId="0" borderId="3" xfId="0" applyFont="1" applyBorder="1" applyAlignment="1">
      <alignment horizontal="center" vertical="top" wrapText="1"/>
    </xf>
    <xf numFmtId="0" fontId="17" fillId="0" borderId="10" xfId="0" applyFont="1" applyBorder="1" applyAlignment="1">
      <alignment horizontal="center" vertical="top" wrapText="1"/>
    </xf>
    <xf numFmtId="0" fontId="8" fillId="6" borderId="3" xfId="0" applyFont="1" applyFill="1" applyBorder="1" applyAlignment="1">
      <alignment horizontal="center" vertical="top" wrapText="1"/>
    </xf>
    <xf numFmtId="0" fontId="8" fillId="6" borderId="10" xfId="0" applyFont="1" applyFill="1" applyBorder="1" applyAlignment="1">
      <alignment horizontal="center" vertical="top" wrapText="1"/>
    </xf>
    <xf numFmtId="2" fontId="7" fillId="0" borderId="3" xfId="0" applyNumberFormat="1" applyFont="1" applyBorder="1" applyAlignment="1">
      <alignment horizontal="center" vertical="top" wrapText="1"/>
    </xf>
    <xf numFmtId="2" fontId="7" fillId="0" borderId="10" xfId="0" applyNumberFormat="1" applyFont="1" applyBorder="1" applyAlignment="1">
      <alignment horizontal="center" vertical="top" wrapText="1"/>
    </xf>
    <xf numFmtId="0" fontId="1" fillId="0" borderId="3" xfId="0" applyFont="1" applyBorder="1" applyAlignment="1">
      <alignment horizontal="left" vertical="top" wrapText="1"/>
    </xf>
    <xf numFmtId="0" fontId="1" fillId="0" borderId="10" xfId="0" applyFont="1" applyBorder="1" applyAlignment="1">
      <alignment horizontal="left" vertical="top" wrapText="1"/>
    </xf>
    <xf numFmtId="0" fontId="1" fillId="0" borderId="7" xfId="0" applyFont="1" applyBorder="1" applyAlignment="1">
      <alignment horizontal="left" vertical="top" wrapText="1"/>
    </xf>
    <xf numFmtId="0" fontId="7" fillId="0" borderId="3" xfId="0" applyFont="1" applyBorder="1" applyAlignment="1">
      <alignment horizontal="center" vertical="top" wrapText="1"/>
    </xf>
    <xf numFmtId="0" fontId="7" fillId="0" borderId="10" xfId="0" applyFont="1" applyBorder="1" applyAlignment="1">
      <alignment horizontal="center" vertical="top" wrapText="1"/>
    </xf>
    <xf numFmtId="0" fontId="3" fillId="0" borderId="0" xfId="1" applyFont="1" applyAlignment="1">
      <alignment horizontal="center" vertical="center"/>
    </xf>
    <xf numFmtId="0" fontId="3" fillId="0" borderId="2" xfId="1" applyFont="1" applyBorder="1" applyAlignment="1">
      <alignment horizontal="center" vertical="center"/>
    </xf>
    <xf numFmtId="0" fontId="3" fillId="7" borderId="3" xfId="1" applyFont="1" applyFill="1" applyBorder="1" applyAlignment="1">
      <alignment horizontal="center" vertical="center" wrapText="1"/>
    </xf>
    <xf numFmtId="0" fontId="3" fillId="7" borderId="7" xfId="1" applyFont="1" applyFill="1" applyBorder="1" applyAlignment="1">
      <alignment horizontal="center" vertical="center" wrapText="1"/>
    </xf>
    <xf numFmtId="0" fontId="3" fillId="7" borderId="10" xfId="1" applyFont="1" applyFill="1" applyBorder="1" applyAlignment="1">
      <alignment horizontal="center" vertical="center" wrapText="1"/>
    </xf>
    <xf numFmtId="0" fontId="3" fillId="7" borderId="4" xfId="1" applyFont="1" applyFill="1" applyBorder="1" applyAlignment="1">
      <alignment horizontal="center" vertical="center" wrapText="1"/>
    </xf>
    <xf numFmtId="0" fontId="3" fillId="7" borderId="5" xfId="1" applyFont="1" applyFill="1" applyBorder="1" applyAlignment="1">
      <alignment horizontal="center" vertical="center" wrapText="1"/>
    </xf>
    <xf numFmtId="0" fontId="3" fillId="7" borderId="6" xfId="1" applyFont="1" applyFill="1" applyBorder="1" applyAlignment="1">
      <alignment horizontal="center" vertical="center" wrapText="1"/>
    </xf>
    <xf numFmtId="0" fontId="3" fillId="7" borderId="8" xfId="1" applyFont="1" applyFill="1" applyBorder="1" applyAlignment="1">
      <alignment horizontal="center" vertical="center" wrapText="1"/>
    </xf>
    <xf numFmtId="0" fontId="12" fillId="7" borderId="3" xfId="1" applyFont="1" applyFill="1" applyBorder="1" applyAlignment="1">
      <alignment horizontal="center" vertical="center" wrapText="1"/>
    </xf>
    <xf numFmtId="0" fontId="12" fillId="7" borderId="7" xfId="1" applyFont="1" applyFill="1" applyBorder="1" applyAlignment="1">
      <alignment horizontal="center" vertical="center" wrapText="1"/>
    </xf>
    <xf numFmtId="0" fontId="12" fillId="7" borderId="10" xfId="1" applyFont="1" applyFill="1" applyBorder="1" applyAlignment="1">
      <alignment horizontal="center" vertical="center" wrapText="1"/>
    </xf>
    <xf numFmtId="0" fontId="3" fillId="7" borderId="2" xfId="1" applyFont="1" applyFill="1" applyBorder="1" applyAlignment="1">
      <alignment horizontal="center" vertical="center" wrapText="1"/>
    </xf>
    <xf numFmtId="0" fontId="3" fillId="7" borderId="9" xfId="1" applyFont="1" applyFill="1" applyBorder="1" applyAlignment="1">
      <alignment horizontal="center" vertical="center" wrapText="1"/>
    </xf>
    <xf numFmtId="0" fontId="3" fillId="7" borderId="14" xfId="1" applyFont="1" applyFill="1" applyBorder="1" applyAlignment="1">
      <alignment horizontal="center" vertical="center" wrapText="1"/>
    </xf>
    <xf numFmtId="0" fontId="3" fillId="7" borderId="15" xfId="1" applyFont="1" applyFill="1" applyBorder="1" applyAlignment="1">
      <alignment horizontal="center" vertical="center" wrapText="1"/>
    </xf>
  </cellXfs>
  <cellStyles count="6">
    <cellStyle name="Hyperlink" xfId="4" builtinId="8"/>
    <cellStyle name="Normal 2" xfId="1" xr:uid="{0058E9DA-C523-4518-B747-C49DA300B958}"/>
    <cellStyle name="จุลภาค" xfId="3" builtinId="3"/>
    <cellStyle name="ปกติ" xfId="0" builtinId="0"/>
    <cellStyle name="ปกติ 2" xfId="2" xr:uid="{CE03CAAD-982F-4C70-8511-5E892309B4D1}"/>
    <cellStyle name="ปกติ 4" xfId="5" xr:uid="{FBF2E708-BEA3-4E8C-A748-5A9B3DA861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6</xdr:col>
      <xdr:colOff>0</xdr:colOff>
      <xdr:row>73</xdr:row>
      <xdr:rowOff>0</xdr:rowOff>
    </xdr:from>
    <xdr:ext cx="184731" cy="262572"/>
    <xdr:sp macro="" textlink="">
      <xdr:nvSpPr>
        <xdr:cNvPr id="2" name="TextBox 7">
          <a:extLst>
            <a:ext uri="{FF2B5EF4-FFF2-40B4-BE49-F238E27FC236}">
              <a16:creationId xmlns:a16="http://schemas.microsoft.com/office/drawing/2014/main" id="{12CAF494-96E4-4B17-ADD5-548124386926}"/>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3" name="TextBox 26">
          <a:extLst>
            <a:ext uri="{FF2B5EF4-FFF2-40B4-BE49-F238E27FC236}">
              <a16:creationId xmlns:a16="http://schemas.microsoft.com/office/drawing/2014/main" id="{942435F1-BBF7-4123-9F81-8E7808D94B03}"/>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4" name="TextBox 27">
          <a:extLst>
            <a:ext uri="{FF2B5EF4-FFF2-40B4-BE49-F238E27FC236}">
              <a16:creationId xmlns:a16="http://schemas.microsoft.com/office/drawing/2014/main" id="{27C6C294-7200-4090-81CB-B097189CBEB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5" name="TextBox 28">
          <a:extLst>
            <a:ext uri="{FF2B5EF4-FFF2-40B4-BE49-F238E27FC236}">
              <a16:creationId xmlns:a16="http://schemas.microsoft.com/office/drawing/2014/main" id="{FC6325DD-CA57-44D4-B868-1D28F966F90C}"/>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6" name="TextBox 29">
          <a:extLst>
            <a:ext uri="{FF2B5EF4-FFF2-40B4-BE49-F238E27FC236}">
              <a16:creationId xmlns:a16="http://schemas.microsoft.com/office/drawing/2014/main" id="{79F17860-4249-4560-BD8B-83DF07B1389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7" name="TextBox 30">
          <a:extLst>
            <a:ext uri="{FF2B5EF4-FFF2-40B4-BE49-F238E27FC236}">
              <a16:creationId xmlns:a16="http://schemas.microsoft.com/office/drawing/2014/main" id="{3267C524-EFAA-4F76-92FA-60279FF5459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8" name="TextBox 31">
          <a:extLst>
            <a:ext uri="{FF2B5EF4-FFF2-40B4-BE49-F238E27FC236}">
              <a16:creationId xmlns:a16="http://schemas.microsoft.com/office/drawing/2014/main" id="{3E38550B-E3AC-46B5-AB85-5D028F257969}"/>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9" name="TextBox 32">
          <a:extLst>
            <a:ext uri="{FF2B5EF4-FFF2-40B4-BE49-F238E27FC236}">
              <a16:creationId xmlns:a16="http://schemas.microsoft.com/office/drawing/2014/main" id="{9C8C68E0-EAF3-45FD-A724-F1B91019361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0" name="TextBox 33">
          <a:extLst>
            <a:ext uri="{FF2B5EF4-FFF2-40B4-BE49-F238E27FC236}">
              <a16:creationId xmlns:a16="http://schemas.microsoft.com/office/drawing/2014/main" id="{66F9A5B8-6A7B-4639-B3EE-D9E6B47D971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1" name="TextBox 34">
          <a:extLst>
            <a:ext uri="{FF2B5EF4-FFF2-40B4-BE49-F238E27FC236}">
              <a16:creationId xmlns:a16="http://schemas.microsoft.com/office/drawing/2014/main" id="{D64605CB-274C-4BFA-A2E1-5E5ED12C96D7}"/>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2" name="TextBox 35">
          <a:extLst>
            <a:ext uri="{FF2B5EF4-FFF2-40B4-BE49-F238E27FC236}">
              <a16:creationId xmlns:a16="http://schemas.microsoft.com/office/drawing/2014/main" id="{D358E05E-C45C-42A8-ACA9-2B90E614EB06}"/>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3" name="TextBox 36">
          <a:extLst>
            <a:ext uri="{FF2B5EF4-FFF2-40B4-BE49-F238E27FC236}">
              <a16:creationId xmlns:a16="http://schemas.microsoft.com/office/drawing/2014/main" id="{538E2B93-6F1E-4787-A320-83B513B955E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4" name="TextBox 37">
          <a:extLst>
            <a:ext uri="{FF2B5EF4-FFF2-40B4-BE49-F238E27FC236}">
              <a16:creationId xmlns:a16="http://schemas.microsoft.com/office/drawing/2014/main" id="{8EB833FD-A8A3-4EBE-8EB3-5B5BC8C6FBB2}"/>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5" name="TextBox 38">
          <a:extLst>
            <a:ext uri="{FF2B5EF4-FFF2-40B4-BE49-F238E27FC236}">
              <a16:creationId xmlns:a16="http://schemas.microsoft.com/office/drawing/2014/main" id="{4AA068E0-A4A1-4F4D-9DAE-FF9F3E647E9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6" name="TextBox 39">
          <a:extLst>
            <a:ext uri="{FF2B5EF4-FFF2-40B4-BE49-F238E27FC236}">
              <a16:creationId xmlns:a16="http://schemas.microsoft.com/office/drawing/2014/main" id="{1D1C133B-43B5-4CD1-A764-EDFC5ADD470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7" name="TextBox 40">
          <a:extLst>
            <a:ext uri="{FF2B5EF4-FFF2-40B4-BE49-F238E27FC236}">
              <a16:creationId xmlns:a16="http://schemas.microsoft.com/office/drawing/2014/main" id="{98992890-1A2D-4CE2-B287-61B724F98A5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8" name="TextBox 41">
          <a:extLst>
            <a:ext uri="{FF2B5EF4-FFF2-40B4-BE49-F238E27FC236}">
              <a16:creationId xmlns:a16="http://schemas.microsoft.com/office/drawing/2014/main" id="{6BD2ACCF-4940-4367-9E00-6DE81BB2777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9" name="TextBox 27">
          <a:extLst>
            <a:ext uri="{FF2B5EF4-FFF2-40B4-BE49-F238E27FC236}">
              <a16:creationId xmlns:a16="http://schemas.microsoft.com/office/drawing/2014/main" id="{51D2B46A-A1D7-48B1-8558-22ABCB6BAC76}"/>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0" name="TextBox 28">
          <a:extLst>
            <a:ext uri="{FF2B5EF4-FFF2-40B4-BE49-F238E27FC236}">
              <a16:creationId xmlns:a16="http://schemas.microsoft.com/office/drawing/2014/main" id="{CA3E5C32-CCCD-4865-B07C-A775E7B0C88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1" name="TextBox 29">
          <a:extLst>
            <a:ext uri="{FF2B5EF4-FFF2-40B4-BE49-F238E27FC236}">
              <a16:creationId xmlns:a16="http://schemas.microsoft.com/office/drawing/2014/main" id="{6BF6D92A-6007-4788-9584-84E1C5CB12D3}"/>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2" name="TextBox 30">
          <a:extLst>
            <a:ext uri="{FF2B5EF4-FFF2-40B4-BE49-F238E27FC236}">
              <a16:creationId xmlns:a16="http://schemas.microsoft.com/office/drawing/2014/main" id="{1FC74CA8-8FED-44A1-ACAC-29A27607C982}"/>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3" name="TextBox 31">
          <a:extLst>
            <a:ext uri="{FF2B5EF4-FFF2-40B4-BE49-F238E27FC236}">
              <a16:creationId xmlns:a16="http://schemas.microsoft.com/office/drawing/2014/main" id="{1B747D90-8427-4832-8A8D-F7CCC0229F3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4" name="TextBox 32">
          <a:extLst>
            <a:ext uri="{FF2B5EF4-FFF2-40B4-BE49-F238E27FC236}">
              <a16:creationId xmlns:a16="http://schemas.microsoft.com/office/drawing/2014/main" id="{DD5528EB-8C54-469B-AE5F-2F3EDC688E7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5" name="TextBox 33">
          <a:extLst>
            <a:ext uri="{FF2B5EF4-FFF2-40B4-BE49-F238E27FC236}">
              <a16:creationId xmlns:a16="http://schemas.microsoft.com/office/drawing/2014/main" id="{7AAEAF42-0074-4273-A597-4579CF013E3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6" name="TextBox 34">
          <a:extLst>
            <a:ext uri="{FF2B5EF4-FFF2-40B4-BE49-F238E27FC236}">
              <a16:creationId xmlns:a16="http://schemas.microsoft.com/office/drawing/2014/main" id="{3FAC785E-CAA8-4281-A783-622CA683144A}"/>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7" name="TextBox 35">
          <a:extLst>
            <a:ext uri="{FF2B5EF4-FFF2-40B4-BE49-F238E27FC236}">
              <a16:creationId xmlns:a16="http://schemas.microsoft.com/office/drawing/2014/main" id="{69C2F874-EBC8-4620-BDF7-B9E7DF761E9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8" name="TextBox 36">
          <a:extLst>
            <a:ext uri="{FF2B5EF4-FFF2-40B4-BE49-F238E27FC236}">
              <a16:creationId xmlns:a16="http://schemas.microsoft.com/office/drawing/2014/main" id="{707196EF-0622-4DF8-B277-DAC88294E9A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9" name="TextBox 37">
          <a:extLst>
            <a:ext uri="{FF2B5EF4-FFF2-40B4-BE49-F238E27FC236}">
              <a16:creationId xmlns:a16="http://schemas.microsoft.com/office/drawing/2014/main" id="{2EDF7AA4-FFEB-4A08-8629-72631BBDA8F7}"/>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30" name="TextBox 38">
          <a:extLst>
            <a:ext uri="{FF2B5EF4-FFF2-40B4-BE49-F238E27FC236}">
              <a16:creationId xmlns:a16="http://schemas.microsoft.com/office/drawing/2014/main" id="{FF7763BB-D266-429A-91A8-D7D9500B9702}"/>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31" name="TextBox 39">
          <a:extLst>
            <a:ext uri="{FF2B5EF4-FFF2-40B4-BE49-F238E27FC236}">
              <a16:creationId xmlns:a16="http://schemas.microsoft.com/office/drawing/2014/main" id="{CD14AB10-3A20-4C65-81BF-FF4B7C61FC0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32" name="TextBox 40">
          <a:extLst>
            <a:ext uri="{FF2B5EF4-FFF2-40B4-BE49-F238E27FC236}">
              <a16:creationId xmlns:a16="http://schemas.microsoft.com/office/drawing/2014/main" id="{217B3F61-9317-479F-A3CD-BB10B79D0816}"/>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33" name="TextBox 7">
          <a:extLst>
            <a:ext uri="{FF2B5EF4-FFF2-40B4-BE49-F238E27FC236}">
              <a16:creationId xmlns:a16="http://schemas.microsoft.com/office/drawing/2014/main" id="{04FDD2E7-6372-4C25-9A74-BDB6013A9FD6}"/>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34" name="TextBox 26">
          <a:extLst>
            <a:ext uri="{FF2B5EF4-FFF2-40B4-BE49-F238E27FC236}">
              <a16:creationId xmlns:a16="http://schemas.microsoft.com/office/drawing/2014/main" id="{013895AB-7E49-440B-A97A-E814C1E11049}"/>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35" name="TextBox 27">
          <a:extLst>
            <a:ext uri="{FF2B5EF4-FFF2-40B4-BE49-F238E27FC236}">
              <a16:creationId xmlns:a16="http://schemas.microsoft.com/office/drawing/2014/main" id="{E3C2310B-5F9C-4081-9652-E59CCC2003E9}"/>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36" name="TextBox 28">
          <a:extLst>
            <a:ext uri="{FF2B5EF4-FFF2-40B4-BE49-F238E27FC236}">
              <a16:creationId xmlns:a16="http://schemas.microsoft.com/office/drawing/2014/main" id="{5F0C9D24-02C4-4191-B8AF-11B644FCC8DA}"/>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37" name="TextBox 29">
          <a:extLst>
            <a:ext uri="{FF2B5EF4-FFF2-40B4-BE49-F238E27FC236}">
              <a16:creationId xmlns:a16="http://schemas.microsoft.com/office/drawing/2014/main" id="{5B848248-DE62-47DA-B1CC-1E650F554CB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38" name="TextBox 30">
          <a:extLst>
            <a:ext uri="{FF2B5EF4-FFF2-40B4-BE49-F238E27FC236}">
              <a16:creationId xmlns:a16="http://schemas.microsoft.com/office/drawing/2014/main" id="{69DA8314-3CED-4D61-AA3A-8F4F30280B3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39" name="TextBox 31">
          <a:extLst>
            <a:ext uri="{FF2B5EF4-FFF2-40B4-BE49-F238E27FC236}">
              <a16:creationId xmlns:a16="http://schemas.microsoft.com/office/drawing/2014/main" id="{5903E151-6CBB-48DC-A0DF-90C0DA3FC026}"/>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40" name="TextBox 32">
          <a:extLst>
            <a:ext uri="{FF2B5EF4-FFF2-40B4-BE49-F238E27FC236}">
              <a16:creationId xmlns:a16="http://schemas.microsoft.com/office/drawing/2014/main" id="{8245A17D-6B76-4E0A-A36C-92A2BB5D4B9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41" name="TextBox 33">
          <a:extLst>
            <a:ext uri="{FF2B5EF4-FFF2-40B4-BE49-F238E27FC236}">
              <a16:creationId xmlns:a16="http://schemas.microsoft.com/office/drawing/2014/main" id="{855A3774-0287-455E-8463-4D7381D238D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42" name="TextBox 34">
          <a:extLst>
            <a:ext uri="{FF2B5EF4-FFF2-40B4-BE49-F238E27FC236}">
              <a16:creationId xmlns:a16="http://schemas.microsoft.com/office/drawing/2014/main" id="{22576A99-D535-4D32-858D-811E661DF4C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43" name="TextBox 35">
          <a:extLst>
            <a:ext uri="{FF2B5EF4-FFF2-40B4-BE49-F238E27FC236}">
              <a16:creationId xmlns:a16="http://schemas.microsoft.com/office/drawing/2014/main" id="{5DF214C3-55C9-436C-A162-CB027E7F398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44" name="TextBox 36">
          <a:extLst>
            <a:ext uri="{FF2B5EF4-FFF2-40B4-BE49-F238E27FC236}">
              <a16:creationId xmlns:a16="http://schemas.microsoft.com/office/drawing/2014/main" id="{A34DE936-3612-4996-8A73-21C189B9275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45" name="TextBox 37">
          <a:extLst>
            <a:ext uri="{FF2B5EF4-FFF2-40B4-BE49-F238E27FC236}">
              <a16:creationId xmlns:a16="http://schemas.microsoft.com/office/drawing/2014/main" id="{1085D2AF-B131-4188-B323-935A4C9CCDE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46" name="TextBox 38">
          <a:extLst>
            <a:ext uri="{FF2B5EF4-FFF2-40B4-BE49-F238E27FC236}">
              <a16:creationId xmlns:a16="http://schemas.microsoft.com/office/drawing/2014/main" id="{0111CAC2-6E41-4544-A968-EB78A890B6B2}"/>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47" name="TextBox 39">
          <a:extLst>
            <a:ext uri="{FF2B5EF4-FFF2-40B4-BE49-F238E27FC236}">
              <a16:creationId xmlns:a16="http://schemas.microsoft.com/office/drawing/2014/main" id="{6ED3B865-ADAE-4E31-BD6B-E75F6A2A107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48" name="TextBox 40">
          <a:extLst>
            <a:ext uri="{FF2B5EF4-FFF2-40B4-BE49-F238E27FC236}">
              <a16:creationId xmlns:a16="http://schemas.microsoft.com/office/drawing/2014/main" id="{C371CA71-7293-4117-AC1F-79D168D2DC21}"/>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49" name="TextBox 7">
          <a:extLst>
            <a:ext uri="{FF2B5EF4-FFF2-40B4-BE49-F238E27FC236}">
              <a16:creationId xmlns:a16="http://schemas.microsoft.com/office/drawing/2014/main" id="{2EC79D66-E4E2-462F-A19B-798B06BBF22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50" name="TextBox 26">
          <a:extLst>
            <a:ext uri="{FF2B5EF4-FFF2-40B4-BE49-F238E27FC236}">
              <a16:creationId xmlns:a16="http://schemas.microsoft.com/office/drawing/2014/main" id="{BED373E3-6E34-43B6-A914-3930D82B971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51" name="TextBox 27">
          <a:extLst>
            <a:ext uri="{FF2B5EF4-FFF2-40B4-BE49-F238E27FC236}">
              <a16:creationId xmlns:a16="http://schemas.microsoft.com/office/drawing/2014/main" id="{578DF2FA-FC6E-4E9F-9F56-E37CB341AAF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52" name="TextBox 28">
          <a:extLst>
            <a:ext uri="{FF2B5EF4-FFF2-40B4-BE49-F238E27FC236}">
              <a16:creationId xmlns:a16="http://schemas.microsoft.com/office/drawing/2014/main" id="{D9F10854-6DF0-44C7-A30B-66C1A0490132}"/>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53" name="TextBox 29">
          <a:extLst>
            <a:ext uri="{FF2B5EF4-FFF2-40B4-BE49-F238E27FC236}">
              <a16:creationId xmlns:a16="http://schemas.microsoft.com/office/drawing/2014/main" id="{BB197AB5-A235-4974-AE44-ABEC702C88F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54" name="TextBox 30">
          <a:extLst>
            <a:ext uri="{FF2B5EF4-FFF2-40B4-BE49-F238E27FC236}">
              <a16:creationId xmlns:a16="http://schemas.microsoft.com/office/drawing/2014/main" id="{F8E30E5F-2719-4F43-8B04-55BB5946737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55" name="TextBox 31">
          <a:extLst>
            <a:ext uri="{FF2B5EF4-FFF2-40B4-BE49-F238E27FC236}">
              <a16:creationId xmlns:a16="http://schemas.microsoft.com/office/drawing/2014/main" id="{A40D460D-C23F-47A6-AEE9-591BE4F2B35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56" name="TextBox 32">
          <a:extLst>
            <a:ext uri="{FF2B5EF4-FFF2-40B4-BE49-F238E27FC236}">
              <a16:creationId xmlns:a16="http://schemas.microsoft.com/office/drawing/2014/main" id="{A1B16438-9F17-4D82-B468-22480EB6012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57" name="TextBox 33">
          <a:extLst>
            <a:ext uri="{FF2B5EF4-FFF2-40B4-BE49-F238E27FC236}">
              <a16:creationId xmlns:a16="http://schemas.microsoft.com/office/drawing/2014/main" id="{A085857C-A3D3-46E9-A9B8-AAD6DE38BCA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58" name="TextBox 34">
          <a:extLst>
            <a:ext uri="{FF2B5EF4-FFF2-40B4-BE49-F238E27FC236}">
              <a16:creationId xmlns:a16="http://schemas.microsoft.com/office/drawing/2014/main" id="{27F29DAA-ABAD-4CF3-B5E7-DD0CE9985D3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59" name="TextBox 35">
          <a:extLst>
            <a:ext uri="{FF2B5EF4-FFF2-40B4-BE49-F238E27FC236}">
              <a16:creationId xmlns:a16="http://schemas.microsoft.com/office/drawing/2014/main" id="{570EB2EC-22F3-451B-BC96-659077EEFC2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60" name="TextBox 36">
          <a:extLst>
            <a:ext uri="{FF2B5EF4-FFF2-40B4-BE49-F238E27FC236}">
              <a16:creationId xmlns:a16="http://schemas.microsoft.com/office/drawing/2014/main" id="{BF786A6C-B365-4C2B-B49C-7126E3D6371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61" name="TextBox 37">
          <a:extLst>
            <a:ext uri="{FF2B5EF4-FFF2-40B4-BE49-F238E27FC236}">
              <a16:creationId xmlns:a16="http://schemas.microsoft.com/office/drawing/2014/main" id="{2D0A54F9-7732-4030-AB4F-E41F25EA93FC}"/>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62" name="TextBox 38">
          <a:extLst>
            <a:ext uri="{FF2B5EF4-FFF2-40B4-BE49-F238E27FC236}">
              <a16:creationId xmlns:a16="http://schemas.microsoft.com/office/drawing/2014/main" id="{6651BE03-B5EF-40B0-B67C-E1B317DF4612}"/>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63" name="TextBox 39">
          <a:extLst>
            <a:ext uri="{FF2B5EF4-FFF2-40B4-BE49-F238E27FC236}">
              <a16:creationId xmlns:a16="http://schemas.microsoft.com/office/drawing/2014/main" id="{EC7C10EE-B1EC-4EB9-91E1-512261F5DE0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64" name="TextBox 26">
          <a:extLst>
            <a:ext uri="{FF2B5EF4-FFF2-40B4-BE49-F238E27FC236}">
              <a16:creationId xmlns:a16="http://schemas.microsoft.com/office/drawing/2014/main" id="{EF9AFB10-5828-4106-83D0-1C3F1EECB277}"/>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65" name="TextBox 27">
          <a:extLst>
            <a:ext uri="{FF2B5EF4-FFF2-40B4-BE49-F238E27FC236}">
              <a16:creationId xmlns:a16="http://schemas.microsoft.com/office/drawing/2014/main" id="{6698DCC2-9E92-4DCA-ABDF-7708A1D72D1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66" name="TextBox 28">
          <a:extLst>
            <a:ext uri="{FF2B5EF4-FFF2-40B4-BE49-F238E27FC236}">
              <a16:creationId xmlns:a16="http://schemas.microsoft.com/office/drawing/2014/main" id="{985FD23E-ED2E-4B33-AF42-5E2AE87A7777}"/>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67" name="TextBox 29">
          <a:extLst>
            <a:ext uri="{FF2B5EF4-FFF2-40B4-BE49-F238E27FC236}">
              <a16:creationId xmlns:a16="http://schemas.microsoft.com/office/drawing/2014/main" id="{551E74A4-954F-4EC1-B626-EA1C8CE32C3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68" name="TextBox 30">
          <a:extLst>
            <a:ext uri="{FF2B5EF4-FFF2-40B4-BE49-F238E27FC236}">
              <a16:creationId xmlns:a16="http://schemas.microsoft.com/office/drawing/2014/main" id="{DBEC2EF2-0F5D-4BB0-9184-BC709E3EBEE1}"/>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69" name="TextBox 31">
          <a:extLst>
            <a:ext uri="{FF2B5EF4-FFF2-40B4-BE49-F238E27FC236}">
              <a16:creationId xmlns:a16="http://schemas.microsoft.com/office/drawing/2014/main" id="{C071FED0-B5EA-4C06-8C40-5D8F3F35D98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70" name="TextBox 32">
          <a:extLst>
            <a:ext uri="{FF2B5EF4-FFF2-40B4-BE49-F238E27FC236}">
              <a16:creationId xmlns:a16="http://schemas.microsoft.com/office/drawing/2014/main" id="{06B74EF7-70E3-402B-BD7D-7C27C62A962A}"/>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71" name="TextBox 33">
          <a:extLst>
            <a:ext uri="{FF2B5EF4-FFF2-40B4-BE49-F238E27FC236}">
              <a16:creationId xmlns:a16="http://schemas.microsoft.com/office/drawing/2014/main" id="{F79D0728-331B-4A53-8E13-FA74639D5E0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72" name="TextBox 34">
          <a:extLst>
            <a:ext uri="{FF2B5EF4-FFF2-40B4-BE49-F238E27FC236}">
              <a16:creationId xmlns:a16="http://schemas.microsoft.com/office/drawing/2014/main" id="{4567F1B7-1CCD-4A96-80D4-5A8F4208510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73" name="TextBox 35">
          <a:extLst>
            <a:ext uri="{FF2B5EF4-FFF2-40B4-BE49-F238E27FC236}">
              <a16:creationId xmlns:a16="http://schemas.microsoft.com/office/drawing/2014/main" id="{B25DD4BE-BBB3-43FA-986D-4D3568DA731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74" name="TextBox 36">
          <a:extLst>
            <a:ext uri="{FF2B5EF4-FFF2-40B4-BE49-F238E27FC236}">
              <a16:creationId xmlns:a16="http://schemas.microsoft.com/office/drawing/2014/main" id="{0307198F-95B4-4863-97F4-A94A3400061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75" name="TextBox 37">
          <a:extLst>
            <a:ext uri="{FF2B5EF4-FFF2-40B4-BE49-F238E27FC236}">
              <a16:creationId xmlns:a16="http://schemas.microsoft.com/office/drawing/2014/main" id="{6B181B2C-158D-40B7-B370-E4ACC17E555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76" name="TextBox 38">
          <a:extLst>
            <a:ext uri="{FF2B5EF4-FFF2-40B4-BE49-F238E27FC236}">
              <a16:creationId xmlns:a16="http://schemas.microsoft.com/office/drawing/2014/main" id="{16E98B23-A20C-494A-8FEE-FFB9000659C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77" name="TextBox 40">
          <a:extLst>
            <a:ext uri="{FF2B5EF4-FFF2-40B4-BE49-F238E27FC236}">
              <a16:creationId xmlns:a16="http://schemas.microsoft.com/office/drawing/2014/main" id="{F1078F09-D032-4573-96E7-8507901D13D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78" name="TextBox 7">
          <a:extLst>
            <a:ext uri="{FF2B5EF4-FFF2-40B4-BE49-F238E27FC236}">
              <a16:creationId xmlns:a16="http://schemas.microsoft.com/office/drawing/2014/main" id="{FBC83365-AA81-442D-B4AD-746E3EBAD3D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79" name="TextBox 26">
          <a:extLst>
            <a:ext uri="{FF2B5EF4-FFF2-40B4-BE49-F238E27FC236}">
              <a16:creationId xmlns:a16="http://schemas.microsoft.com/office/drawing/2014/main" id="{F00CE410-FA7B-4DFE-A403-04996E4E124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80" name="TextBox 27">
          <a:extLst>
            <a:ext uri="{FF2B5EF4-FFF2-40B4-BE49-F238E27FC236}">
              <a16:creationId xmlns:a16="http://schemas.microsoft.com/office/drawing/2014/main" id="{745A31D1-2325-4950-87B9-01067F70B53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81" name="TextBox 28">
          <a:extLst>
            <a:ext uri="{FF2B5EF4-FFF2-40B4-BE49-F238E27FC236}">
              <a16:creationId xmlns:a16="http://schemas.microsoft.com/office/drawing/2014/main" id="{762A5D73-DACD-4334-8852-75853ACE128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82" name="TextBox 29">
          <a:extLst>
            <a:ext uri="{FF2B5EF4-FFF2-40B4-BE49-F238E27FC236}">
              <a16:creationId xmlns:a16="http://schemas.microsoft.com/office/drawing/2014/main" id="{AC710093-3F7E-47C3-8E2D-C2234233AD3A}"/>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83" name="TextBox 30">
          <a:extLst>
            <a:ext uri="{FF2B5EF4-FFF2-40B4-BE49-F238E27FC236}">
              <a16:creationId xmlns:a16="http://schemas.microsoft.com/office/drawing/2014/main" id="{55A078D5-84AD-44CD-ACF0-8323D2ED25C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84" name="TextBox 31">
          <a:extLst>
            <a:ext uri="{FF2B5EF4-FFF2-40B4-BE49-F238E27FC236}">
              <a16:creationId xmlns:a16="http://schemas.microsoft.com/office/drawing/2014/main" id="{0853C4E0-81B1-429B-9F2C-EC4D53531CC9}"/>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85" name="TextBox 32">
          <a:extLst>
            <a:ext uri="{FF2B5EF4-FFF2-40B4-BE49-F238E27FC236}">
              <a16:creationId xmlns:a16="http://schemas.microsoft.com/office/drawing/2014/main" id="{4782C379-2AE2-40E2-89A6-8FB30252A9B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86" name="TextBox 33">
          <a:extLst>
            <a:ext uri="{FF2B5EF4-FFF2-40B4-BE49-F238E27FC236}">
              <a16:creationId xmlns:a16="http://schemas.microsoft.com/office/drawing/2014/main" id="{66FD58C2-ECB6-4CF4-832D-0D50747D1B6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87" name="TextBox 34">
          <a:extLst>
            <a:ext uri="{FF2B5EF4-FFF2-40B4-BE49-F238E27FC236}">
              <a16:creationId xmlns:a16="http://schemas.microsoft.com/office/drawing/2014/main" id="{A284CC62-6723-4268-A51A-372C6B4865A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88" name="TextBox 35">
          <a:extLst>
            <a:ext uri="{FF2B5EF4-FFF2-40B4-BE49-F238E27FC236}">
              <a16:creationId xmlns:a16="http://schemas.microsoft.com/office/drawing/2014/main" id="{D83F94C5-6AF0-4F17-AEB4-AD182C5A144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89" name="TextBox 36">
          <a:extLst>
            <a:ext uri="{FF2B5EF4-FFF2-40B4-BE49-F238E27FC236}">
              <a16:creationId xmlns:a16="http://schemas.microsoft.com/office/drawing/2014/main" id="{916D3579-2139-43E2-A7FC-2C719D576629}"/>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90" name="TextBox 37">
          <a:extLst>
            <a:ext uri="{FF2B5EF4-FFF2-40B4-BE49-F238E27FC236}">
              <a16:creationId xmlns:a16="http://schemas.microsoft.com/office/drawing/2014/main" id="{928C408B-78D0-45D3-8FC4-F07081CD504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91" name="TextBox 38">
          <a:extLst>
            <a:ext uri="{FF2B5EF4-FFF2-40B4-BE49-F238E27FC236}">
              <a16:creationId xmlns:a16="http://schemas.microsoft.com/office/drawing/2014/main" id="{B95CD0D4-9264-4EB1-9C4C-548D82D7D26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92" name="TextBox 39">
          <a:extLst>
            <a:ext uri="{FF2B5EF4-FFF2-40B4-BE49-F238E27FC236}">
              <a16:creationId xmlns:a16="http://schemas.microsoft.com/office/drawing/2014/main" id="{8D5A6778-9562-4F2B-A629-B3A72700567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93" name="TextBox 40">
          <a:extLst>
            <a:ext uri="{FF2B5EF4-FFF2-40B4-BE49-F238E27FC236}">
              <a16:creationId xmlns:a16="http://schemas.microsoft.com/office/drawing/2014/main" id="{5F043F76-E193-482B-8A12-9F26922B748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94" name="TextBox 41">
          <a:extLst>
            <a:ext uri="{FF2B5EF4-FFF2-40B4-BE49-F238E27FC236}">
              <a16:creationId xmlns:a16="http://schemas.microsoft.com/office/drawing/2014/main" id="{44160323-36D8-481C-83E6-4A6CB1DF5A5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95" name="TextBox 7">
          <a:extLst>
            <a:ext uri="{FF2B5EF4-FFF2-40B4-BE49-F238E27FC236}">
              <a16:creationId xmlns:a16="http://schemas.microsoft.com/office/drawing/2014/main" id="{1D3FC074-EA25-4EF0-BB65-506439CBD9A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96" name="TextBox 26">
          <a:extLst>
            <a:ext uri="{FF2B5EF4-FFF2-40B4-BE49-F238E27FC236}">
              <a16:creationId xmlns:a16="http://schemas.microsoft.com/office/drawing/2014/main" id="{FB1FF412-4877-4B9F-BA6B-D1A08857B80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97" name="TextBox 27">
          <a:extLst>
            <a:ext uri="{FF2B5EF4-FFF2-40B4-BE49-F238E27FC236}">
              <a16:creationId xmlns:a16="http://schemas.microsoft.com/office/drawing/2014/main" id="{CBDDBCE6-7864-4DE6-89B4-363EAADF51B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98" name="TextBox 28">
          <a:extLst>
            <a:ext uri="{FF2B5EF4-FFF2-40B4-BE49-F238E27FC236}">
              <a16:creationId xmlns:a16="http://schemas.microsoft.com/office/drawing/2014/main" id="{E66EA6DA-C3C2-4336-91F6-9A1BD3377D1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99" name="TextBox 29">
          <a:extLst>
            <a:ext uri="{FF2B5EF4-FFF2-40B4-BE49-F238E27FC236}">
              <a16:creationId xmlns:a16="http://schemas.microsoft.com/office/drawing/2014/main" id="{DD6DF1FA-B341-4281-8C1B-4521F440DAC1}"/>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00" name="TextBox 30">
          <a:extLst>
            <a:ext uri="{FF2B5EF4-FFF2-40B4-BE49-F238E27FC236}">
              <a16:creationId xmlns:a16="http://schemas.microsoft.com/office/drawing/2014/main" id="{302E3B4A-09DF-44F9-A48D-DF576FBC95D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01" name="TextBox 31">
          <a:extLst>
            <a:ext uri="{FF2B5EF4-FFF2-40B4-BE49-F238E27FC236}">
              <a16:creationId xmlns:a16="http://schemas.microsoft.com/office/drawing/2014/main" id="{109EC85B-AAAB-43A8-BF07-495C5366C7C7}"/>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02" name="TextBox 32">
          <a:extLst>
            <a:ext uri="{FF2B5EF4-FFF2-40B4-BE49-F238E27FC236}">
              <a16:creationId xmlns:a16="http://schemas.microsoft.com/office/drawing/2014/main" id="{9CFE8AFA-0104-4ACA-AB8E-F336CE87D97C}"/>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03" name="TextBox 33">
          <a:extLst>
            <a:ext uri="{FF2B5EF4-FFF2-40B4-BE49-F238E27FC236}">
              <a16:creationId xmlns:a16="http://schemas.microsoft.com/office/drawing/2014/main" id="{3454A006-6082-4C6E-AE84-99CDACC9F6A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04" name="TextBox 34">
          <a:extLst>
            <a:ext uri="{FF2B5EF4-FFF2-40B4-BE49-F238E27FC236}">
              <a16:creationId xmlns:a16="http://schemas.microsoft.com/office/drawing/2014/main" id="{4ED3BF5C-4A6D-4871-8DCA-2B671F73A303}"/>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05" name="TextBox 35">
          <a:extLst>
            <a:ext uri="{FF2B5EF4-FFF2-40B4-BE49-F238E27FC236}">
              <a16:creationId xmlns:a16="http://schemas.microsoft.com/office/drawing/2014/main" id="{D6081973-5622-424A-88E9-56ED80CD64C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06" name="TextBox 36">
          <a:extLst>
            <a:ext uri="{FF2B5EF4-FFF2-40B4-BE49-F238E27FC236}">
              <a16:creationId xmlns:a16="http://schemas.microsoft.com/office/drawing/2014/main" id="{BDA81A50-DEBB-41EA-9316-5A149761DD2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07" name="TextBox 37">
          <a:extLst>
            <a:ext uri="{FF2B5EF4-FFF2-40B4-BE49-F238E27FC236}">
              <a16:creationId xmlns:a16="http://schemas.microsoft.com/office/drawing/2014/main" id="{6937DC80-2715-40F9-9356-A21A981ED419}"/>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08" name="TextBox 38">
          <a:extLst>
            <a:ext uri="{FF2B5EF4-FFF2-40B4-BE49-F238E27FC236}">
              <a16:creationId xmlns:a16="http://schemas.microsoft.com/office/drawing/2014/main" id="{E410F95F-58B8-4ECF-BB4C-9EA193525D03}"/>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09" name="TextBox 39">
          <a:extLst>
            <a:ext uri="{FF2B5EF4-FFF2-40B4-BE49-F238E27FC236}">
              <a16:creationId xmlns:a16="http://schemas.microsoft.com/office/drawing/2014/main" id="{A5433010-F57F-407C-9D09-F20DD3505A17}"/>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10" name="TextBox 40">
          <a:extLst>
            <a:ext uri="{FF2B5EF4-FFF2-40B4-BE49-F238E27FC236}">
              <a16:creationId xmlns:a16="http://schemas.microsoft.com/office/drawing/2014/main" id="{96F0BBA6-D5BC-411F-A7C9-DED94F1EE86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11" name="TextBox 41">
          <a:extLst>
            <a:ext uri="{FF2B5EF4-FFF2-40B4-BE49-F238E27FC236}">
              <a16:creationId xmlns:a16="http://schemas.microsoft.com/office/drawing/2014/main" id="{ECDD6BAC-48CC-4029-AEE2-80250C76C49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12" name="TextBox 7">
          <a:extLst>
            <a:ext uri="{FF2B5EF4-FFF2-40B4-BE49-F238E27FC236}">
              <a16:creationId xmlns:a16="http://schemas.microsoft.com/office/drawing/2014/main" id="{5C01B21E-2163-445F-B6A5-A84824C39A1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13" name="TextBox 26">
          <a:extLst>
            <a:ext uri="{FF2B5EF4-FFF2-40B4-BE49-F238E27FC236}">
              <a16:creationId xmlns:a16="http://schemas.microsoft.com/office/drawing/2014/main" id="{853EEDC6-4229-4787-8936-5AD4E3E4952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14" name="TextBox 27">
          <a:extLst>
            <a:ext uri="{FF2B5EF4-FFF2-40B4-BE49-F238E27FC236}">
              <a16:creationId xmlns:a16="http://schemas.microsoft.com/office/drawing/2014/main" id="{20C927EC-F6D1-45A7-BB3D-8D9B81C5491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15" name="TextBox 28">
          <a:extLst>
            <a:ext uri="{FF2B5EF4-FFF2-40B4-BE49-F238E27FC236}">
              <a16:creationId xmlns:a16="http://schemas.microsoft.com/office/drawing/2014/main" id="{712B13C2-418B-46E6-910E-624E0A44D60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16" name="TextBox 29">
          <a:extLst>
            <a:ext uri="{FF2B5EF4-FFF2-40B4-BE49-F238E27FC236}">
              <a16:creationId xmlns:a16="http://schemas.microsoft.com/office/drawing/2014/main" id="{BB342A84-7C50-43AB-831F-7E3A64251F11}"/>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17" name="TextBox 30">
          <a:extLst>
            <a:ext uri="{FF2B5EF4-FFF2-40B4-BE49-F238E27FC236}">
              <a16:creationId xmlns:a16="http://schemas.microsoft.com/office/drawing/2014/main" id="{5D9B2FD5-4907-43F8-B3D0-55AB49EDA10A}"/>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18" name="TextBox 31">
          <a:extLst>
            <a:ext uri="{FF2B5EF4-FFF2-40B4-BE49-F238E27FC236}">
              <a16:creationId xmlns:a16="http://schemas.microsoft.com/office/drawing/2014/main" id="{8A2CFF1A-B432-4D62-B5D8-5172D53C1CC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19" name="TextBox 32">
          <a:extLst>
            <a:ext uri="{FF2B5EF4-FFF2-40B4-BE49-F238E27FC236}">
              <a16:creationId xmlns:a16="http://schemas.microsoft.com/office/drawing/2014/main" id="{E45FAA70-DEC2-45A3-A18C-58026B05C47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20" name="TextBox 33">
          <a:extLst>
            <a:ext uri="{FF2B5EF4-FFF2-40B4-BE49-F238E27FC236}">
              <a16:creationId xmlns:a16="http://schemas.microsoft.com/office/drawing/2014/main" id="{F14EFB7F-27C3-42C8-8B20-3B5776CF8BE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21" name="TextBox 34">
          <a:extLst>
            <a:ext uri="{FF2B5EF4-FFF2-40B4-BE49-F238E27FC236}">
              <a16:creationId xmlns:a16="http://schemas.microsoft.com/office/drawing/2014/main" id="{F083D94A-79E2-4A10-B77E-1795D58DC183}"/>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22" name="TextBox 35">
          <a:extLst>
            <a:ext uri="{FF2B5EF4-FFF2-40B4-BE49-F238E27FC236}">
              <a16:creationId xmlns:a16="http://schemas.microsoft.com/office/drawing/2014/main" id="{1A5DEE7F-DB93-4FD2-A1F9-BAC2B03AC87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23" name="TextBox 36">
          <a:extLst>
            <a:ext uri="{FF2B5EF4-FFF2-40B4-BE49-F238E27FC236}">
              <a16:creationId xmlns:a16="http://schemas.microsoft.com/office/drawing/2014/main" id="{540F84C2-E207-41EF-9433-13E4039691A1}"/>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24" name="TextBox 37">
          <a:extLst>
            <a:ext uri="{FF2B5EF4-FFF2-40B4-BE49-F238E27FC236}">
              <a16:creationId xmlns:a16="http://schemas.microsoft.com/office/drawing/2014/main" id="{D73CB36A-E51B-4B89-90BF-E52467ADF93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25" name="TextBox 38">
          <a:extLst>
            <a:ext uri="{FF2B5EF4-FFF2-40B4-BE49-F238E27FC236}">
              <a16:creationId xmlns:a16="http://schemas.microsoft.com/office/drawing/2014/main" id="{CEDAC178-AEAE-4C71-B028-45E10473A07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26" name="TextBox 39">
          <a:extLst>
            <a:ext uri="{FF2B5EF4-FFF2-40B4-BE49-F238E27FC236}">
              <a16:creationId xmlns:a16="http://schemas.microsoft.com/office/drawing/2014/main" id="{23958A54-E963-4BF0-98C5-6D537246D2C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27" name="TextBox 40">
          <a:extLst>
            <a:ext uri="{FF2B5EF4-FFF2-40B4-BE49-F238E27FC236}">
              <a16:creationId xmlns:a16="http://schemas.microsoft.com/office/drawing/2014/main" id="{1E58B4BE-CF20-4BB4-8128-22DEB4BD444C}"/>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28" name="TextBox 41">
          <a:extLst>
            <a:ext uri="{FF2B5EF4-FFF2-40B4-BE49-F238E27FC236}">
              <a16:creationId xmlns:a16="http://schemas.microsoft.com/office/drawing/2014/main" id="{1E1D6FF1-AB81-4F12-8222-7DAF849F379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29" name="TextBox 27">
          <a:extLst>
            <a:ext uri="{FF2B5EF4-FFF2-40B4-BE49-F238E27FC236}">
              <a16:creationId xmlns:a16="http://schemas.microsoft.com/office/drawing/2014/main" id="{C4E5794E-2D1D-47D1-8D7D-EC3D87848B6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30" name="TextBox 28">
          <a:extLst>
            <a:ext uri="{FF2B5EF4-FFF2-40B4-BE49-F238E27FC236}">
              <a16:creationId xmlns:a16="http://schemas.microsoft.com/office/drawing/2014/main" id="{5C44C939-CE25-44F1-963F-CA773326EAB6}"/>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31" name="TextBox 29">
          <a:extLst>
            <a:ext uri="{FF2B5EF4-FFF2-40B4-BE49-F238E27FC236}">
              <a16:creationId xmlns:a16="http://schemas.microsoft.com/office/drawing/2014/main" id="{05C12C18-6426-4EC7-9FD6-2AAC737CC23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32" name="TextBox 30">
          <a:extLst>
            <a:ext uri="{FF2B5EF4-FFF2-40B4-BE49-F238E27FC236}">
              <a16:creationId xmlns:a16="http://schemas.microsoft.com/office/drawing/2014/main" id="{6ED3350C-925F-4D3B-8A99-9428FB99FF41}"/>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33" name="TextBox 31">
          <a:extLst>
            <a:ext uri="{FF2B5EF4-FFF2-40B4-BE49-F238E27FC236}">
              <a16:creationId xmlns:a16="http://schemas.microsoft.com/office/drawing/2014/main" id="{46CD27BB-B573-48DE-96E8-7881957359B6}"/>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34" name="TextBox 32">
          <a:extLst>
            <a:ext uri="{FF2B5EF4-FFF2-40B4-BE49-F238E27FC236}">
              <a16:creationId xmlns:a16="http://schemas.microsoft.com/office/drawing/2014/main" id="{C6D86257-D9DB-4478-8E6C-23E47D64BB19}"/>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35" name="TextBox 33">
          <a:extLst>
            <a:ext uri="{FF2B5EF4-FFF2-40B4-BE49-F238E27FC236}">
              <a16:creationId xmlns:a16="http://schemas.microsoft.com/office/drawing/2014/main" id="{9165E6E7-7539-4AE5-8A33-1486CDC0923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36" name="TextBox 34">
          <a:extLst>
            <a:ext uri="{FF2B5EF4-FFF2-40B4-BE49-F238E27FC236}">
              <a16:creationId xmlns:a16="http://schemas.microsoft.com/office/drawing/2014/main" id="{D3788E15-A587-49CC-8BCE-63AEDE32391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37" name="TextBox 35">
          <a:extLst>
            <a:ext uri="{FF2B5EF4-FFF2-40B4-BE49-F238E27FC236}">
              <a16:creationId xmlns:a16="http://schemas.microsoft.com/office/drawing/2014/main" id="{B1E15774-6A29-4A07-9AB1-D460E0947DD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38" name="TextBox 36">
          <a:extLst>
            <a:ext uri="{FF2B5EF4-FFF2-40B4-BE49-F238E27FC236}">
              <a16:creationId xmlns:a16="http://schemas.microsoft.com/office/drawing/2014/main" id="{EBEA7D61-4E72-4FD0-93CF-DEFDB1B26AF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39" name="TextBox 37">
          <a:extLst>
            <a:ext uri="{FF2B5EF4-FFF2-40B4-BE49-F238E27FC236}">
              <a16:creationId xmlns:a16="http://schemas.microsoft.com/office/drawing/2014/main" id="{95844A88-6146-477D-9A09-76F8016AD911}"/>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40" name="TextBox 38">
          <a:extLst>
            <a:ext uri="{FF2B5EF4-FFF2-40B4-BE49-F238E27FC236}">
              <a16:creationId xmlns:a16="http://schemas.microsoft.com/office/drawing/2014/main" id="{39930F39-EE3A-4A06-A505-582B0B6B2D37}"/>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41" name="TextBox 39">
          <a:extLst>
            <a:ext uri="{FF2B5EF4-FFF2-40B4-BE49-F238E27FC236}">
              <a16:creationId xmlns:a16="http://schemas.microsoft.com/office/drawing/2014/main" id="{A4CBAD88-84FF-43BA-9B99-2C220A1663C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42" name="TextBox 40">
          <a:extLst>
            <a:ext uri="{FF2B5EF4-FFF2-40B4-BE49-F238E27FC236}">
              <a16:creationId xmlns:a16="http://schemas.microsoft.com/office/drawing/2014/main" id="{6B8259EA-5A19-4152-A175-8CF642263B47}"/>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43" name="TextBox 26">
          <a:extLst>
            <a:ext uri="{FF2B5EF4-FFF2-40B4-BE49-F238E27FC236}">
              <a16:creationId xmlns:a16="http://schemas.microsoft.com/office/drawing/2014/main" id="{7ECBCEF9-0757-4A3B-A913-BC9F2EBD83A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44" name="TextBox 27">
          <a:extLst>
            <a:ext uri="{FF2B5EF4-FFF2-40B4-BE49-F238E27FC236}">
              <a16:creationId xmlns:a16="http://schemas.microsoft.com/office/drawing/2014/main" id="{7A4A2FF9-BA29-4F22-9F77-F5B85305EBF7}"/>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45" name="TextBox 28">
          <a:extLst>
            <a:ext uri="{FF2B5EF4-FFF2-40B4-BE49-F238E27FC236}">
              <a16:creationId xmlns:a16="http://schemas.microsoft.com/office/drawing/2014/main" id="{D90A8B9F-95B8-44C4-8899-66C69E7DAF8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46" name="TextBox 29">
          <a:extLst>
            <a:ext uri="{FF2B5EF4-FFF2-40B4-BE49-F238E27FC236}">
              <a16:creationId xmlns:a16="http://schemas.microsoft.com/office/drawing/2014/main" id="{A835D3D4-AD9F-4F6D-BD27-261482B2B659}"/>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47" name="TextBox 30">
          <a:extLst>
            <a:ext uri="{FF2B5EF4-FFF2-40B4-BE49-F238E27FC236}">
              <a16:creationId xmlns:a16="http://schemas.microsoft.com/office/drawing/2014/main" id="{97D802CB-07BD-4F64-A734-326D4A6624E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48" name="TextBox 31">
          <a:extLst>
            <a:ext uri="{FF2B5EF4-FFF2-40B4-BE49-F238E27FC236}">
              <a16:creationId xmlns:a16="http://schemas.microsoft.com/office/drawing/2014/main" id="{8878649A-204B-47B0-86B9-ADE1BF65EABC}"/>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49" name="TextBox 32">
          <a:extLst>
            <a:ext uri="{FF2B5EF4-FFF2-40B4-BE49-F238E27FC236}">
              <a16:creationId xmlns:a16="http://schemas.microsoft.com/office/drawing/2014/main" id="{4F98911A-6A95-4F55-847F-761C7F2B404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50" name="TextBox 33">
          <a:extLst>
            <a:ext uri="{FF2B5EF4-FFF2-40B4-BE49-F238E27FC236}">
              <a16:creationId xmlns:a16="http://schemas.microsoft.com/office/drawing/2014/main" id="{242A1C20-1469-44F0-BA48-880EF8793C07}"/>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51" name="TextBox 34">
          <a:extLst>
            <a:ext uri="{FF2B5EF4-FFF2-40B4-BE49-F238E27FC236}">
              <a16:creationId xmlns:a16="http://schemas.microsoft.com/office/drawing/2014/main" id="{360F4726-AFBA-4271-B4ED-DE4087115813}"/>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52" name="TextBox 35">
          <a:extLst>
            <a:ext uri="{FF2B5EF4-FFF2-40B4-BE49-F238E27FC236}">
              <a16:creationId xmlns:a16="http://schemas.microsoft.com/office/drawing/2014/main" id="{FEED372E-445B-48CE-B231-1DBAA730A481}"/>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53" name="TextBox 36">
          <a:extLst>
            <a:ext uri="{FF2B5EF4-FFF2-40B4-BE49-F238E27FC236}">
              <a16:creationId xmlns:a16="http://schemas.microsoft.com/office/drawing/2014/main" id="{470674D4-9A9C-4E9C-80EA-167738A0638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54" name="TextBox 37">
          <a:extLst>
            <a:ext uri="{FF2B5EF4-FFF2-40B4-BE49-F238E27FC236}">
              <a16:creationId xmlns:a16="http://schemas.microsoft.com/office/drawing/2014/main" id="{5FF96EAF-7767-4CAC-8096-49FF0B9534C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55" name="TextBox 38">
          <a:extLst>
            <a:ext uri="{FF2B5EF4-FFF2-40B4-BE49-F238E27FC236}">
              <a16:creationId xmlns:a16="http://schemas.microsoft.com/office/drawing/2014/main" id="{2EE01F90-7BE3-403C-A7A7-473CA874A78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56" name="TextBox 39">
          <a:extLst>
            <a:ext uri="{FF2B5EF4-FFF2-40B4-BE49-F238E27FC236}">
              <a16:creationId xmlns:a16="http://schemas.microsoft.com/office/drawing/2014/main" id="{1F868823-0D90-4DAD-BAEF-CE2B9E8D0DE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57" name="TextBox 40">
          <a:extLst>
            <a:ext uri="{FF2B5EF4-FFF2-40B4-BE49-F238E27FC236}">
              <a16:creationId xmlns:a16="http://schemas.microsoft.com/office/drawing/2014/main" id="{5228D6C5-F869-4679-9ED0-73F697FAC48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58" name="TextBox 36">
          <a:extLst>
            <a:ext uri="{FF2B5EF4-FFF2-40B4-BE49-F238E27FC236}">
              <a16:creationId xmlns:a16="http://schemas.microsoft.com/office/drawing/2014/main" id="{AF06F10C-0A7C-4E84-9993-960F8B70F6F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59" name="TextBox 37">
          <a:extLst>
            <a:ext uri="{FF2B5EF4-FFF2-40B4-BE49-F238E27FC236}">
              <a16:creationId xmlns:a16="http://schemas.microsoft.com/office/drawing/2014/main" id="{16719636-A92E-493C-975D-9322CA688AD9}"/>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60" name="TextBox 38">
          <a:extLst>
            <a:ext uri="{FF2B5EF4-FFF2-40B4-BE49-F238E27FC236}">
              <a16:creationId xmlns:a16="http://schemas.microsoft.com/office/drawing/2014/main" id="{B52E002D-39D4-4183-B60C-037ECE473B2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61" name="TextBox 39">
          <a:extLst>
            <a:ext uri="{FF2B5EF4-FFF2-40B4-BE49-F238E27FC236}">
              <a16:creationId xmlns:a16="http://schemas.microsoft.com/office/drawing/2014/main" id="{D374A3EE-5751-4F4B-A986-E653591C313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62" name="TextBox 26">
          <a:extLst>
            <a:ext uri="{FF2B5EF4-FFF2-40B4-BE49-F238E27FC236}">
              <a16:creationId xmlns:a16="http://schemas.microsoft.com/office/drawing/2014/main" id="{A4F78FAE-1E20-4497-B492-7AB7F7369581}"/>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63" name="TextBox 27">
          <a:extLst>
            <a:ext uri="{FF2B5EF4-FFF2-40B4-BE49-F238E27FC236}">
              <a16:creationId xmlns:a16="http://schemas.microsoft.com/office/drawing/2014/main" id="{1C3F2E28-3D7B-4BFE-936D-391E3B791A63}"/>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64" name="TextBox 28">
          <a:extLst>
            <a:ext uri="{FF2B5EF4-FFF2-40B4-BE49-F238E27FC236}">
              <a16:creationId xmlns:a16="http://schemas.microsoft.com/office/drawing/2014/main" id="{1F056F71-A1A1-440B-A7DB-AEBC3E68A8A9}"/>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65" name="TextBox 29">
          <a:extLst>
            <a:ext uri="{FF2B5EF4-FFF2-40B4-BE49-F238E27FC236}">
              <a16:creationId xmlns:a16="http://schemas.microsoft.com/office/drawing/2014/main" id="{AF0C0F3D-E567-4C73-A9EA-5E8625EEF992}"/>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66" name="TextBox 30">
          <a:extLst>
            <a:ext uri="{FF2B5EF4-FFF2-40B4-BE49-F238E27FC236}">
              <a16:creationId xmlns:a16="http://schemas.microsoft.com/office/drawing/2014/main" id="{86E0F7B7-8A6C-4E07-9E5C-B4EDD1A1000A}"/>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67" name="TextBox 31">
          <a:extLst>
            <a:ext uri="{FF2B5EF4-FFF2-40B4-BE49-F238E27FC236}">
              <a16:creationId xmlns:a16="http://schemas.microsoft.com/office/drawing/2014/main" id="{03BD9B18-5F8F-4B5C-BA95-AAB5880D237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68" name="TextBox 32">
          <a:extLst>
            <a:ext uri="{FF2B5EF4-FFF2-40B4-BE49-F238E27FC236}">
              <a16:creationId xmlns:a16="http://schemas.microsoft.com/office/drawing/2014/main" id="{D4AF711A-9523-4B1D-8D54-BAC9A465783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69" name="TextBox 33">
          <a:extLst>
            <a:ext uri="{FF2B5EF4-FFF2-40B4-BE49-F238E27FC236}">
              <a16:creationId xmlns:a16="http://schemas.microsoft.com/office/drawing/2014/main" id="{70AC06B0-7D32-4D76-890A-CDF97097E231}"/>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70" name="TextBox 34">
          <a:extLst>
            <a:ext uri="{FF2B5EF4-FFF2-40B4-BE49-F238E27FC236}">
              <a16:creationId xmlns:a16="http://schemas.microsoft.com/office/drawing/2014/main" id="{1D018636-4C4D-4D75-BFCD-F9FCE1AEFC2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71" name="TextBox 35">
          <a:extLst>
            <a:ext uri="{FF2B5EF4-FFF2-40B4-BE49-F238E27FC236}">
              <a16:creationId xmlns:a16="http://schemas.microsoft.com/office/drawing/2014/main" id="{4A839595-7DAC-4ED7-845E-01AA1D0DD02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72" name="TextBox 36">
          <a:extLst>
            <a:ext uri="{FF2B5EF4-FFF2-40B4-BE49-F238E27FC236}">
              <a16:creationId xmlns:a16="http://schemas.microsoft.com/office/drawing/2014/main" id="{D77FBCBD-9044-4919-B3C2-E0C41B0C4E5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73" name="TextBox 37">
          <a:extLst>
            <a:ext uri="{FF2B5EF4-FFF2-40B4-BE49-F238E27FC236}">
              <a16:creationId xmlns:a16="http://schemas.microsoft.com/office/drawing/2014/main" id="{D821BF62-E409-41C1-8BF6-BF3E2E51722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74" name="TextBox 38">
          <a:extLst>
            <a:ext uri="{FF2B5EF4-FFF2-40B4-BE49-F238E27FC236}">
              <a16:creationId xmlns:a16="http://schemas.microsoft.com/office/drawing/2014/main" id="{36589B0E-09CE-4AF4-AF53-3A9FC282A1C7}"/>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75" name="TextBox 26">
          <a:extLst>
            <a:ext uri="{FF2B5EF4-FFF2-40B4-BE49-F238E27FC236}">
              <a16:creationId xmlns:a16="http://schemas.microsoft.com/office/drawing/2014/main" id="{7AF61657-151E-455F-BA31-CF7F1F203426}"/>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76" name="TextBox 27">
          <a:extLst>
            <a:ext uri="{FF2B5EF4-FFF2-40B4-BE49-F238E27FC236}">
              <a16:creationId xmlns:a16="http://schemas.microsoft.com/office/drawing/2014/main" id="{588CCECA-6E01-490B-B2C2-BAD534440E1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77" name="TextBox 28">
          <a:extLst>
            <a:ext uri="{FF2B5EF4-FFF2-40B4-BE49-F238E27FC236}">
              <a16:creationId xmlns:a16="http://schemas.microsoft.com/office/drawing/2014/main" id="{A37318CA-DC97-4980-88A7-4277A9754D1A}"/>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78" name="TextBox 29">
          <a:extLst>
            <a:ext uri="{FF2B5EF4-FFF2-40B4-BE49-F238E27FC236}">
              <a16:creationId xmlns:a16="http://schemas.microsoft.com/office/drawing/2014/main" id="{913AF2CE-A07E-40A2-91C6-510B945A03D6}"/>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79" name="TextBox 30">
          <a:extLst>
            <a:ext uri="{FF2B5EF4-FFF2-40B4-BE49-F238E27FC236}">
              <a16:creationId xmlns:a16="http://schemas.microsoft.com/office/drawing/2014/main" id="{D5702686-F757-4F0C-B0F2-FCA288F6F58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80" name="TextBox 31">
          <a:extLst>
            <a:ext uri="{FF2B5EF4-FFF2-40B4-BE49-F238E27FC236}">
              <a16:creationId xmlns:a16="http://schemas.microsoft.com/office/drawing/2014/main" id="{65D6F517-1DE4-47CC-BE65-530A098B3DD6}"/>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81" name="TextBox 32">
          <a:extLst>
            <a:ext uri="{FF2B5EF4-FFF2-40B4-BE49-F238E27FC236}">
              <a16:creationId xmlns:a16="http://schemas.microsoft.com/office/drawing/2014/main" id="{AF39D87F-34C8-41D6-8408-038339991EB2}"/>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82" name="TextBox 33">
          <a:extLst>
            <a:ext uri="{FF2B5EF4-FFF2-40B4-BE49-F238E27FC236}">
              <a16:creationId xmlns:a16="http://schemas.microsoft.com/office/drawing/2014/main" id="{B2207625-864B-4BD5-A4CD-D5FA1B951BB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83" name="TextBox 34">
          <a:extLst>
            <a:ext uri="{FF2B5EF4-FFF2-40B4-BE49-F238E27FC236}">
              <a16:creationId xmlns:a16="http://schemas.microsoft.com/office/drawing/2014/main" id="{99A5632B-AE74-4212-A761-44584EB80651}"/>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84" name="TextBox 35">
          <a:extLst>
            <a:ext uri="{FF2B5EF4-FFF2-40B4-BE49-F238E27FC236}">
              <a16:creationId xmlns:a16="http://schemas.microsoft.com/office/drawing/2014/main" id="{38A68305-7795-45DD-9F1B-CCEA75B3120A}"/>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85" name="TextBox 36">
          <a:extLst>
            <a:ext uri="{FF2B5EF4-FFF2-40B4-BE49-F238E27FC236}">
              <a16:creationId xmlns:a16="http://schemas.microsoft.com/office/drawing/2014/main" id="{272DA62C-8FB7-43C8-9B09-6C2BD1438C7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86" name="TextBox 37">
          <a:extLst>
            <a:ext uri="{FF2B5EF4-FFF2-40B4-BE49-F238E27FC236}">
              <a16:creationId xmlns:a16="http://schemas.microsoft.com/office/drawing/2014/main" id="{005D0E90-4A13-4761-B5D7-1C973D16473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87" name="TextBox 38">
          <a:extLst>
            <a:ext uri="{FF2B5EF4-FFF2-40B4-BE49-F238E27FC236}">
              <a16:creationId xmlns:a16="http://schemas.microsoft.com/office/drawing/2014/main" id="{75E9B49A-A1AD-4E16-85B9-CC6FE2CA0C2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88" name="TextBox 39">
          <a:extLst>
            <a:ext uri="{FF2B5EF4-FFF2-40B4-BE49-F238E27FC236}">
              <a16:creationId xmlns:a16="http://schemas.microsoft.com/office/drawing/2014/main" id="{C65EC86C-7916-416D-AC89-4673E71DDA5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89" name="TextBox 40">
          <a:extLst>
            <a:ext uri="{FF2B5EF4-FFF2-40B4-BE49-F238E27FC236}">
              <a16:creationId xmlns:a16="http://schemas.microsoft.com/office/drawing/2014/main" id="{4FE1F964-B57E-4577-AB26-9A07561437D7}"/>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90" name="TextBox 41">
          <a:extLst>
            <a:ext uri="{FF2B5EF4-FFF2-40B4-BE49-F238E27FC236}">
              <a16:creationId xmlns:a16="http://schemas.microsoft.com/office/drawing/2014/main" id="{A5982457-5156-43B2-826C-A650114140B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91" name="TextBox 7">
          <a:extLst>
            <a:ext uri="{FF2B5EF4-FFF2-40B4-BE49-F238E27FC236}">
              <a16:creationId xmlns:a16="http://schemas.microsoft.com/office/drawing/2014/main" id="{B09856CA-DD12-44A3-A664-0584298B0A5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92" name="TextBox 26">
          <a:extLst>
            <a:ext uri="{FF2B5EF4-FFF2-40B4-BE49-F238E27FC236}">
              <a16:creationId xmlns:a16="http://schemas.microsoft.com/office/drawing/2014/main" id="{D07447C2-6983-4155-B706-F8C2A8BD8D66}"/>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93" name="TextBox 27">
          <a:extLst>
            <a:ext uri="{FF2B5EF4-FFF2-40B4-BE49-F238E27FC236}">
              <a16:creationId xmlns:a16="http://schemas.microsoft.com/office/drawing/2014/main" id="{625DD8E3-ACB8-42FD-8296-09E9EE1829D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94" name="TextBox 28">
          <a:extLst>
            <a:ext uri="{FF2B5EF4-FFF2-40B4-BE49-F238E27FC236}">
              <a16:creationId xmlns:a16="http://schemas.microsoft.com/office/drawing/2014/main" id="{5B442B34-4E4D-43CC-837A-9F6BD244593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95" name="TextBox 29">
          <a:extLst>
            <a:ext uri="{FF2B5EF4-FFF2-40B4-BE49-F238E27FC236}">
              <a16:creationId xmlns:a16="http://schemas.microsoft.com/office/drawing/2014/main" id="{D92C8EFB-B783-4359-B1C9-371904384D2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96" name="TextBox 30">
          <a:extLst>
            <a:ext uri="{FF2B5EF4-FFF2-40B4-BE49-F238E27FC236}">
              <a16:creationId xmlns:a16="http://schemas.microsoft.com/office/drawing/2014/main" id="{8770B6B5-C7C7-4D81-B33D-F7254842921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97" name="TextBox 31">
          <a:extLst>
            <a:ext uri="{FF2B5EF4-FFF2-40B4-BE49-F238E27FC236}">
              <a16:creationId xmlns:a16="http://schemas.microsoft.com/office/drawing/2014/main" id="{078E6CF5-58EC-494A-BFC9-E06CF76ECD33}"/>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98" name="TextBox 32">
          <a:extLst>
            <a:ext uri="{FF2B5EF4-FFF2-40B4-BE49-F238E27FC236}">
              <a16:creationId xmlns:a16="http://schemas.microsoft.com/office/drawing/2014/main" id="{A3288995-B8A6-4CF0-8F42-5D33F222CB8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199" name="TextBox 33">
          <a:extLst>
            <a:ext uri="{FF2B5EF4-FFF2-40B4-BE49-F238E27FC236}">
              <a16:creationId xmlns:a16="http://schemas.microsoft.com/office/drawing/2014/main" id="{92A93397-C533-4174-8B6C-6D7D4452F5C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00" name="TextBox 34">
          <a:extLst>
            <a:ext uri="{FF2B5EF4-FFF2-40B4-BE49-F238E27FC236}">
              <a16:creationId xmlns:a16="http://schemas.microsoft.com/office/drawing/2014/main" id="{582B35A4-7752-4261-BB31-242075900306}"/>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01" name="TextBox 35">
          <a:extLst>
            <a:ext uri="{FF2B5EF4-FFF2-40B4-BE49-F238E27FC236}">
              <a16:creationId xmlns:a16="http://schemas.microsoft.com/office/drawing/2014/main" id="{D825AF48-C08B-464E-8B2E-192FDA0F2F5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02" name="TextBox 36">
          <a:extLst>
            <a:ext uri="{FF2B5EF4-FFF2-40B4-BE49-F238E27FC236}">
              <a16:creationId xmlns:a16="http://schemas.microsoft.com/office/drawing/2014/main" id="{EE95793C-45D5-4B95-9A52-D76EB1343537}"/>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03" name="TextBox 37">
          <a:extLst>
            <a:ext uri="{FF2B5EF4-FFF2-40B4-BE49-F238E27FC236}">
              <a16:creationId xmlns:a16="http://schemas.microsoft.com/office/drawing/2014/main" id="{9D158B50-A1BC-426C-97F2-BA1ADD85CDD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04" name="TextBox 38">
          <a:extLst>
            <a:ext uri="{FF2B5EF4-FFF2-40B4-BE49-F238E27FC236}">
              <a16:creationId xmlns:a16="http://schemas.microsoft.com/office/drawing/2014/main" id="{99CCDC70-FF53-4F5C-BD39-C891C602423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05" name="TextBox 39">
          <a:extLst>
            <a:ext uri="{FF2B5EF4-FFF2-40B4-BE49-F238E27FC236}">
              <a16:creationId xmlns:a16="http://schemas.microsoft.com/office/drawing/2014/main" id="{CAED6877-7DA2-49B1-8DC7-0220FE06297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06" name="TextBox 40">
          <a:extLst>
            <a:ext uri="{FF2B5EF4-FFF2-40B4-BE49-F238E27FC236}">
              <a16:creationId xmlns:a16="http://schemas.microsoft.com/office/drawing/2014/main" id="{88227CCA-10A5-498E-B002-30DD1FE4FA5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07" name="TextBox 41">
          <a:extLst>
            <a:ext uri="{FF2B5EF4-FFF2-40B4-BE49-F238E27FC236}">
              <a16:creationId xmlns:a16="http://schemas.microsoft.com/office/drawing/2014/main" id="{5BC5544C-8F62-4EEF-AAF9-A42A8FB1606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08" name="TextBox 26">
          <a:extLst>
            <a:ext uri="{FF2B5EF4-FFF2-40B4-BE49-F238E27FC236}">
              <a16:creationId xmlns:a16="http://schemas.microsoft.com/office/drawing/2014/main" id="{D24C82AB-22A5-4B8A-A3D2-D95CA3A9517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09" name="TextBox 27">
          <a:extLst>
            <a:ext uri="{FF2B5EF4-FFF2-40B4-BE49-F238E27FC236}">
              <a16:creationId xmlns:a16="http://schemas.microsoft.com/office/drawing/2014/main" id="{74D066B6-27E9-45D3-8750-AE09A5C7D236}"/>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10" name="TextBox 28">
          <a:extLst>
            <a:ext uri="{FF2B5EF4-FFF2-40B4-BE49-F238E27FC236}">
              <a16:creationId xmlns:a16="http://schemas.microsoft.com/office/drawing/2014/main" id="{BEB44BA2-ED76-46CE-AFDC-FD12F86F814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11" name="TextBox 29">
          <a:extLst>
            <a:ext uri="{FF2B5EF4-FFF2-40B4-BE49-F238E27FC236}">
              <a16:creationId xmlns:a16="http://schemas.microsoft.com/office/drawing/2014/main" id="{A01135C9-FBC7-40BD-A0C5-2D4764CF66E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12" name="TextBox 30">
          <a:extLst>
            <a:ext uri="{FF2B5EF4-FFF2-40B4-BE49-F238E27FC236}">
              <a16:creationId xmlns:a16="http://schemas.microsoft.com/office/drawing/2014/main" id="{DC1F001D-38B6-4FC5-B40A-4D1918F53A51}"/>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13" name="TextBox 31">
          <a:extLst>
            <a:ext uri="{FF2B5EF4-FFF2-40B4-BE49-F238E27FC236}">
              <a16:creationId xmlns:a16="http://schemas.microsoft.com/office/drawing/2014/main" id="{2A3046E5-16EE-4CDD-AA37-73C23BC025B7}"/>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14" name="TextBox 32">
          <a:extLst>
            <a:ext uri="{FF2B5EF4-FFF2-40B4-BE49-F238E27FC236}">
              <a16:creationId xmlns:a16="http://schemas.microsoft.com/office/drawing/2014/main" id="{36C91130-7C4A-4AB0-A310-AE79F4A76CF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15" name="TextBox 33">
          <a:extLst>
            <a:ext uri="{FF2B5EF4-FFF2-40B4-BE49-F238E27FC236}">
              <a16:creationId xmlns:a16="http://schemas.microsoft.com/office/drawing/2014/main" id="{6E029477-D338-4264-823A-8236FA86AA69}"/>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16" name="TextBox 34">
          <a:extLst>
            <a:ext uri="{FF2B5EF4-FFF2-40B4-BE49-F238E27FC236}">
              <a16:creationId xmlns:a16="http://schemas.microsoft.com/office/drawing/2014/main" id="{506B0FC6-611B-44D8-B03F-BBC76172C46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17" name="TextBox 35">
          <a:extLst>
            <a:ext uri="{FF2B5EF4-FFF2-40B4-BE49-F238E27FC236}">
              <a16:creationId xmlns:a16="http://schemas.microsoft.com/office/drawing/2014/main" id="{1FED524B-168B-4BA6-B6E0-99F2188A1F12}"/>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18" name="TextBox 36">
          <a:extLst>
            <a:ext uri="{FF2B5EF4-FFF2-40B4-BE49-F238E27FC236}">
              <a16:creationId xmlns:a16="http://schemas.microsoft.com/office/drawing/2014/main" id="{63656CED-F4F4-49A8-95B9-30F4A35D820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19" name="TextBox 37">
          <a:extLst>
            <a:ext uri="{FF2B5EF4-FFF2-40B4-BE49-F238E27FC236}">
              <a16:creationId xmlns:a16="http://schemas.microsoft.com/office/drawing/2014/main" id="{3F98BDE8-D71D-4DF1-B354-8AAD319FF1E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20" name="TextBox 38">
          <a:extLst>
            <a:ext uri="{FF2B5EF4-FFF2-40B4-BE49-F238E27FC236}">
              <a16:creationId xmlns:a16="http://schemas.microsoft.com/office/drawing/2014/main" id="{8B5EA78A-01BB-4FEB-B67C-923096AE40F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21" name="TextBox 39">
          <a:extLst>
            <a:ext uri="{FF2B5EF4-FFF2-40B4-BE49-F238E27FC236}">
              <a16:creationId xmlns:a16="http://schemas.microsoft.com/office/drawing/2014/main" id="{A3D1D516-E94E-4A6D-B60A-73A2991E6F1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22" name="TextBox 40">
          <a:extLst>
            <a:ext uri="{FF2B5EF4-FFF2-40B4-BE49-F238E27FC236}">
              <a16:creationId xmlns:a16="http://schemas.microsoft.com/office/drawing/2014/main" id="{0939F595-D598-424B-8C5B-C0CD1E7E355C}"/>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23" name="TextBox 36">
          <a:extLst>
            <a:ext uri="{FF2B5EF4-FFF2-40B4-BE49-F238E27FC236}">
              <a16:creationId xmlns:a16="http://schemas.microsoft.com/office/drawing/2014/main" id="{911E254E-CFA7-49AD-91F7-5B4BC717223C}"/>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24" name="TextBox 37">
          <a:extLst>
            <a:ext uri="{FF2B5EF4-FFF2-40B4-BE49-F238E27FC236}">
              <a16:creationId xmlns:a16="http://schemas.microsoft.com/office/drawing/2014/main" id="{B2FC3736-FB8A-4E18-9D23-3D9F5322A3D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25" name="TextBox 38">
          <a:extLst>
            <a:ext uri="{FF2B5EF4-FFF2-40B4-BE49-F238E27FC236}">
              <a16:creationId xmlns:a16="http://schemas.microsoft.com/office/drawing/2014/main" id="{E559B6B6-439E-42B4-B138-7B5EE72F62BA}"/>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26" name="TextBox 39">
          <a:extLst>
            <a:ext uri="{FF2B5EF4-FFF2-40B4-BE49-F238E27FC236}">
              <a16:creationId xmlns:a16="http://schemas.microsoft.com/office/drawing/2014/main" id="{949407AC-8DAA-42C1-BCFE-C19F0401F082}"/>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27" name="TextBox 26">
          <a:extLst>
            <a:ext uri="{FF2B5EF4-FFF2-40B4-BE49-F238E27FC236}">
              <a16:creationId xmlns:a16="http://schemas.microsoft.com/office/drawing/2014/main" id="{26CE17BC-4665-4FC1-963C-1225E205BE2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28" name="TextBox 27">
          <a:extLst>
            <a:ext uri="{FF2B5EF4-FFF2-40B4-BE49-F238E27FC236}">
              <a16:creationId xmlns:a16="http://schemas.microsoft.com/office/drawing/2014/main" id="{467C3D17-3A3E-4883-9E13-C55002482923}"/>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29" name="TextBox 28">
          <a:extLst>
            <a:ext uri="{FF2B5EF4-FFF2-40B4-BE49-F238E27FC236}">
              <a16:creationId xmlns:a16="http://schemas.microsoft.com/office/drawing/2014/main" id="{CF6FCE34-A9A8-4EC6-A150-6179259B8873}"/>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30" name="TextBox 29">
          <a:extLst>
            <a:ext uri="{FF2B5EF4-FFF2-40B4-BE49-F238E27FC236}">
              <a16:creationId xmlns:a16="http://schemas.microsoft.com/office/drawing/2014/main" id="{5347E89D-2366-47A1-BEAE-7804263DCC6A}"/>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31" name="TextBox 30">
          <a:extLst>
            <a:ext uri="{FF2B5EF4-FFF2-40B4-BE49-F238E27FC236}">
              <a16:creationId xmlns:a16="http://schemas.microsoft.com/office/drawing/2014/main" id="{95B4ED44-8F36-4D1A-B705-A55F5778B87A}"/>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32" name="TextBox 31">
          <a:extLst>
            <a:ext uri="{FF2B5EF4-FFF2-40B4-BE49-F238E27FC236}">
              <a16:creationId xmlns:a16="http://schemas.microsoft.com/office/drawing/2014/main" id="{3483879B-7F8C-4A09-A06C-BEC3F8D3D863}"/>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33" name="TextBox 32">
          <a:extLst>
            <a:ext uri="{FF2B5EF4-FFF2-40B4-BE49-F238E27FC236}">
              <a16:creationId xmlns:a16="http://schemas.microsoft.com/office/drawing/2014/main" id="{6ED2EA6F-7108-4102-AAB4-587E3472BD5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34" name="TextBox 33">
          <a:extLst>
            <a:ext uri="{FF2B5EF4-FFF2-40B4-BE49-F238E27FC236}">
              <a16:creationId xmlns:a16="http://schemas.microsoft.com/office/drawing/2014/main" id="{5D4AAA00-CDBF-492F-8167-7447B99FE97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35" name="TextBox 34">
          <a:extLst>
            <a:ext uri="{FF2B5EF4-FFF2-40B4-BE49-F238E27FC236}">
              <a16:creationId xmlns:a16="http://schemas.microsoft.com/office/drawing/2014/main" id="{BF0A93ED-31C0-46A3-A84A-6AC2F89ECAF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36" name="TextBox 35">
          <a:extLst>
            <a:ext uri="{FF2B5EF4-FFF2-40B4-BE49-F238E27FC236}">
              <a16:creationId xmlns:a16="http://schemas.microsoft.com/office/drawing/2014/main" id="{D5122342-74EF-4E28-99DB-4203BD8C3892}"/>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37" name="TextBox 36">
          <a:extLst>
            <a:ext uri="{FF2B5EF4-FFF2-40B4-BE49-F238E27FC236}">
              <a16:creationId xmlns:a16="http://schemas.microsoft.com/office/drawing/2014/main" id="{BC58F9B1-3A87-4565-AE89-07FBDFDFCBA7}"/>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38" name="TextBox 37">
          <a:extLst>
            <a:ext uri="{FF2B5EF4-FFF2-40B4-BE49-F238E27FC236}">
              <a16:creationId xmlns:a16="http://schemas.microsoft.com/office/drawing/2014/main" id="{53E4A4C2-DB6A-4328-88BA-54AF820EEA7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39" name="TextBox 38">
          <a:extLst>
            <a:ext uri="{FF2B5EF4-FFF2-40B4-BE49-F238E27FC236}">
              <a16:creationId xmlns:a16="http://schemas.microsoft.com/office/drawing/2014/main" id="{DA5BF8BE-8813-428C-B378-371E7D5D82C1}"/>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40" name="TextBox 26">
          <a:extLst>
            <a:ext uri="{FF2B5EF4-FFF2-40B4-BE49-F238E27FC236}">
              <a16:creationId xmlns:a16="http://schemas.microsoft.com/office/drawing/2014/main" id="{9F0D92E3-6E14-44E4-B891-A64D8CF41C7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41" name="TextBox 27">
          <a:extLst>
            <a:ext uri="{FF2B5EF4-FFF2-40B4-BE49-F238E27FC236}">
              <a16:creationId xmlns:a16="http://schemas.microsoft.com/office/drawing/2014/main" id="{93F2FE89-808F-4770-8A36-E0DDF5C05193}"/>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42" name="TextBox 28">
          <a:extLst>
            <a:ext uri="{FF2B5EF4-FFF2-40B4-BE49-F238E27FC236}">
              <a16:creationId xmlns:a16="http://schemas.microsoft.com/office/drawing/2014/main" id="{E8175620-A4F0-4D35-B069-E288663FC146}"/>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43" name="TextBox 29">
          <a:extLst>
            <a:ext uri="{FF2B5EF4-FFF2-40B4-BE49-F238E27FC236}">
              <a16:creationId xmlns:a16="http://schemas.microsoft.com/office/drawing/2014/main" id="{03A42BDE-FC01-4269-8349-5605B75AACC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44" name="TextBox 30">
          <a:extLst>
            <a:ext uri="{FF2B5EF4-FFF2-40B4-BE49-F238E27FC236}">
              <a16:creationId xmlns:a16="http://schemas.microsoft.com/office/drawing/2014/main" id="{58273052-220D-4AB7-8AC8-07B3F54DCCCD}"/>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45" name="TextBox 31">
          <a:extLst>
            <a:ext uri="{FF2B5EF4-FFF2-40B4-BE49-F238E27FC236}">
              <a16:creationId xmlns:a16="http://schemas.microsoft.com/office/drawing/2014/main" id="{9DE0FC9B-19C1-4977-B3B9-80418604D4E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46" name="TextBox 32">
          <a:extLst>
            <a:ext uri="{FF2B5EF4-FFF2-40B4-BE49-F238E27FC236}">
              <a16:creationId xmlns:a16="http://schemas.microsoft.com/office/drawing/2014/main" id="{78F939D6-9E16-4C3D-9190-8C1BA7C69D6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47" name="TextBox 33">
          <a:extLst>
            <a:ext uri="{FF2B5EF4-FFF2-40B4-BE49-F238E27FC236}">
              <a16:creationId xmlns:a16="http://schemas.microsoft.com/office/drawing/2014/main" id="{8722C1CF-07EB-4CEE-8DA1-3D2A3329BFA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48" name="TextBox 34">
          <a:extLst>
            <a:ext uri="{FF2B5EF4-FFF2-40B4-BE49-F238E27FC236}">
              <a16:creationId xmlns:a16="http://schemas.microsoft.com/office/drawing/2014/main" id="{EBFB05CC-9EEC-458C-ACAE-B44C6480685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49" name="TextBox 35">
          <a:extLst>
            <a:ext uri="{FF2B5EF4-FFF2-40B4-BE49-F238E27FC236}">
              <a16:creationId xmlns:a16="http://schemas.microsoft.com/office/drawing/2014/main" id="{F6B066BE-1634-4F97-9CE2-2FE918D3B4D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50" name="TextBox 36">
          <a:extLst>
            <a:ext uri="{FF2B5EF4-FFF2-40B4-BE49-F238E27FC236}">
              <a16:creationId xmlns:a16="http://schemas.microsoft.com/office/drawing/2014/main" id="{905001FA-161E-4AA4-88C3-9C68EBDF5E2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51" name="TextBox 37">
          <a:extLst>
            <a:ext uri="{FF2B5EF4-FFF2-40B4-BE49-F238E27FC236}">
              <a16:creationId xmlns:a16="http://schemas.microsoft.com/office/drawing/2014/main" id="{24967876-093C-4006-85FB-8232A05CA39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52" name="TextBox 36">
          <a:extLst>
            <a:ext uri="{FF2B5EF4-FFF2-40B4-BE49-F238E27FC236}">
              <a16:creationId xmlns:a16="http://schemas.microsoft.com/office/drawing/2014/main" id="{523D6225-16BA-4885-8074-499C7D980703}"/>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53" name="TextBox 37">
          <a:extLst>
            <a:ext uri="{FF2B5EF4-FFF2-40B4-BE49-F238E27FC236}">
              <a16:creationId xmlns:a16="http://schemas.microsoft.com/office/drawing/2014/main" id="{CD3E406D-184C-4E89-8960-C0B34FBE2AF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54" name="TextBox 38">
          <a:extLst>
            <a:ext uri="{FF2B5EF4-FFF2-40B4-BE49-F238E27FC236}">
              <a16:creationId xmlns:a16="http://schemas.microsoft.com/office/drawing/2014/main" id="{D6DF0BB3-49D5-4720-B11E-ACC6CF92BAA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55" name="TextBox 39">
          <a:extLst>
            <a:ext uri="{FF2B5EF4-FFF2-40B4-BE49-F238E27FC236}">
              <a16:creationId xmlns:a16="http://schemas.microsoft.com/office/drawing/2014/main" id="{5FE3C0BF-57DC-4CBE-86E0-E01023650799}"/>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56" name="TextBox 26">
          <a:extLst>
            <a:ext uri="{FF2B5EF4-FFF2-40B4-BE49-F238E27FC236}">
              <a16:creationId xmlns:a16="http://schemas.microsoft.com/office/drawing/2014/main" id="{42E33409-626C-4B16-AB95-5936B270261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57" name="TextBox 27">
          <a:extLst>
            <a:ext uri="{FF2B5EF4-FFF2-40B4-BE49-F238E27FC236}">
              <a16:creationId xmlns:a16="http://schemas.microsoft.com/office/drawing/2014/main" id="{C04EA860-145A-45CA-8B46-D6EA29298E89}"/>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58" name="TextBox 28">
          <a:extLst>
            <a:ext uri="{FF2B5EF4-FFF2-40B4-BE49-F238E27FC236}">
              <a16:creationId xmlns:a16="http://schemas.microsoft.com/office/drawing/2014/main" id="{038BBA8E-D82A-404A-9F92-F2C140E1E039}"/>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59" name="TextBox 29">
          <a:extLst>
            <a:ext uri="{FF2B5EF4-FFF2-40B4-BE49-F238E27FC236}">
              <a16:creationId xmlns:a16="http://schemas.microsoft.com/office/drawing/2014/main" id="{96909894-F20B-4048-B5FE-7E302D5DDBA3}"/>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60" name="TextBox 30">
          <a:extLst>
            <a:ext uri="{FF2B5EF4-FFF2-40B4-BE49-F238E27FC236}">
              <a16:creationId xmlns:a16="http://schemas.microsoft.com/office/drawing/2014/main" id="{0C660872-7BC6-4CCA-8F8E-662AD6E4FD61}"/>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61" name="TextBox 31">
          <a:extLst>
            <a:ext uri="{FF2B5EF4-FFF2-40B4-BE49-F238E27FC236}">
              <a16:creationId xmlns:a16="http://schemas.microsoft.com/office/drawing/2014/main" id="{DA2A2B12-50D0-44F6-802D-ADDF977974B2}"/>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62" name="TextBox 32">
          <a:extLst>
            <a:ext uri="{FF2B5EF4-FFF2-40B4-BE49-F238E27FC236}">
              <a16:creationId xmlns:a16="http://schemas.microsoft.com/office/drawing/2014/main" id="{52C89458-7396-4341-8CB5-0C6900D21EB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63" name="TextBox 33">
          <a:extLst>
            <a:ext uri="{FF2B5EF4-FFF2-40B4-BE49-F238E27FC236}">
              <a16:creationId xmlns:a16="http://schemas.microsoft.com/office/drawing/2014/main" id="{143DCAA7-3FC9-4218-9900-2787101F6145}"/>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64" name="TextBox 34">
          <a:extLst>
            <a:ext uri="{FF2B5EF4-FFF2-40B4-BE49-F238E27FC236}">
              <a16:creationId xmlns:a16="http://schemas.microsoft.com/office/drawing/2014/main" id="{04823E85-5451-482C-8113-EBC2D971C3A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65" name="TextBox 35">
          <a:extLst>
            <a:ext uri="{FF2B5EF4-FFF2-40B4-BE49-F238E27FC236}">
              <a16:creationId xmlns:a16="http://schemas.microsoft.com/office/drawing/2014/main" id="{1D661E6B-7850-419E-A14B-9E64A6447A4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66" name="TextBox 36">
          <a:extLst>
            <a:ext uri="{FF2B5EF4-FFF2-40B4-BE49-F238E27FC236}">
              <a16:creationId xmlns:a16="http://schemas.microsoft.com/office/drawing/2014/main" id="{04068C44-A065-4CB5-B51B-E61DB4552AC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67" name="TextBox 37">
          <a:extLst>
            <a:ext uri="{FF2B5EF4-FFF2-40B4-BE49-F238E27FC236}">
              <a16:creationId xmlns:a16="http://schemas.microsoft.com/office/drawing/2014/main" id="{69F85289-FC58-4B5F-83F8-02874802628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68" name="TextBox 38">
          <a:extLst>
            <a:ext uri="{FF2B5EF4-FFF2-40B4-BE49-F238E27FC236}">
              <a16:creationId xmlns:a16="http://schemas.microsoft.com/office/drawing/2014/main" id="{0B8949C0-240C-47CA-8A1D-C15FD39E8F99}"/>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69" name="TextBox 7">
          <a:extLst>
            <a:ext uri="{FF2B5EF4-FFF2-40B4-BE49-F238E27FC236}">
              <a16:creationId xmlns:a16="http://schemas.microsoft.com/office/drawing/2014/main" id="{F532AE71-FBAD-4EBE-95E1-5BE536CD1EA9}"/>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70" name="TextBox 26">
          <a:extLst>
            <a:ext uri="{FF2B5EF4-FFF2-40B4-BE49-F238E27FC236}">
              <a16:creationId xmlns:a16="http://schemas.microsoft.com/office/drawing/2014/main" id="{86F9E2D1-772F-44CC-8E1B-92608BE4118B}"/>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71" name="TextBox 27">
          <a:extLst>
            <a:ext uri="{FF2B5EF4-FFF2-40B4-BE49-F238E27FC236}">
              <a16:creationId xmlns:a16="http://schemas.microsoft.com/office/drawing/2014/main" id="{3919BE94-97AD-4BA7-9B65-2CD6BA8C28CE}"/>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72" name="TextBox 28">
          <a:extLst>
            <a:ext uri="{FF2B5EF4-FFF2-40B4-BE49-F238E27FC236}">
              <a16:creationId xmlns:a16="http://schemas.microsoft.com/office/drawing/2014/main" id="{4D065C11-8E54-47E3-A209-BC46D66C45D8}"/>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73" name="TextBox 29">
          <a:extLst>
            <a:ext uri="{FF2B5EF4-FFF2-40B4-BE49-F238E27FC236}">
              <a16:creationId xmlns:a16="http://schemas.microsoft.com/office/drawing/2014/main" id="{F785903E-9393-4E05-9C06-DD954C58C7F0}"/>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74" name="TextBox 30">
          <a:extLst>
            <a:ext uri="{FF2B5EF4-FFF2-40B4-BE49-F238E27FC236}">
              <a16:creationId xmlns:a16="http://schemas.microsoft.com/office/drawing/2014/main" id="{A0F752FA-892B-4A66-A9DF-7CCBD52022F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75" name="TextBox 31">
          <a:extLst>
            <a:ext uri="{FF2B5EF4-FFF2-40B4-BE49-F238E27FC236}">
              <a16:creationId xmlns:a16="http://schemas.microsoft.com/office/drawing/2014/main" id="{DB769EEB-7DE1-40C5-AC0C-152F486198F1}"/>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76" name="TextBox 32">
          <a:extLst>
            <a:ext uri="{FF2B5EF4-FFF2-40B4-BE49-F238E27FC236}">
              <a16:creationId xmlns:a16="http://schemas.microsoft.com/office/drawing/2014/main" id="{C54DB0CB-8770-4C9A-BE8D-7DC280D79BCC}"/>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77" name="TextBox 33">
          <a:extLst>
            <a:ext uri="{FF2B5EF4-FFF2-40B4-BE49-F238E27FC236}">
              <a16:creationId xmlns:a16="http://schemas.microsoft.com/office/drawing/2014/main" id="{4C0B2D2A-1E4B-4E85-BB0A-D80E379587AA}"/>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78" name="TextBox 34">
          <a:extLst>
            <a:ext uri="{FF2B5EF4-FFF2-40B4-BE49-F238E27FC236}">
              <a16:creationId xmlns:a16="http://schemas.microsoft.com/office/drawing/2014/main" id="{669D740E-7404-4677-A7DC-7F9F3E306EF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79" name="TextBox 35">
          <a:extLst>
            <a:ext uri="{FF2B5EF4-FFF2-40B4-BE49-F238E27FC236}">
              <a16:creationId xmlns:a16="http://schemas.microsoft.com/office/drawing/2014/main" id="{075320A5-D618-4900-AC54-8B8EEC687891}"/>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80" name="TextBox 36">
          <a:extLst>
            <a:ext uri="{FF2B5EF4-FFF2-40B4-BE49-F238E27FC236}">
              <a16:creationId xmlns:a16="http://schemas.microsoft.com/office/drawing/2014/main" id="{97856237-C625-44AE-909A-A15EA9798924}"/>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81" name="TextBox 37">
          <a:extLst>
            <a:ext uri="{FF2B5EF4-FFF2-40B4-BE49-F238E27FC236}">
              <a16:creationId xmlns:a16="http://schemas.microsoft.com/office/drawing/2014/main" id="{0C57CC2C-98E7-4FE8-909E-D9DA07A1C6AA}"/>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82" name="TextBox 38">
          <a:extLst>
            <a:ext uri="{FF2B5EF4-FFF2-40B4-BE49-F238E27FC236}">
              <a16:creationId xmlns:a16="http://schemas.microsoft.com/office/drawing/2014/main" id="{BD235AE1-35FB-4C65-82E7-76DFC46F2F8F}"/>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83" name="TextBox 39">
          <a:extLst>
            <a:ext uri="{FF2B5EF4-FFF2-40B4-BE49-F238E27FC236}">
              <a16:creationId xmlns:a16="http://schemas.microsoft.com/office/drawing/2014/main" id="{2B07DF74-C7C5-420A-8296-182078589637}"/>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73</xdr:row>
      <xdr:rowOff>0</xdr:rowOff>
    </xdr:from>
    <xdr:ext cx="184731" cy="262572"/>
    <xdr:sp macro="" textlink="">
      <xdr:nvSpPr>
        <xdr:cNvPr id="284" name="TextBox 40">
          <a:extLst>
            <a:ext uri="{FF2B5EF4-FFF2-40B4-BE49-F238E27FC236}">
              <a16:creationId xmlns:a16="http://schemas.microsoft.com/office/drawing/2014/main" id="{F2AEE43A-E6DB-44E8-8E0E-D83640197543}"/>
            </a:ext>
          </a:extLst>
        </xdr:cNvPr>
        <xdr:cNvSpPr txBox="1"/>
      </xdr:nvSpPr>
      <xdr:spPr>
        <a:xfrm>
          <a:off x="10534650" y="18542317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77</xdr:row>
      <xdr:rowOff>0</xdr:rowOff>
    </xdr:from>
    <xdr:ext cx="184731" cy="262572"/>
    <xdr:sp macro="" textlink="">
      <xdr:nvSpPr>
        <xdr:cNvPr id="2" name="TextBox 7">
          <a:extLst>
            <a:ext uri="{FF2B5EF4-FFF2-40B4-BE49-F238E27FC236}">
              <a16:creationId xmlns:a16="http://schemas.microsoft.com/office/drawing/2014/main" id="{368FB9B1-EF45-4461-AC99-3A4DBEBF331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3" name="TextBox 26">
          <a:extLst>
            <a:ext uri="{FF2B5EF4-FFF2-40B4-BE49-F238E27FC236}">
              <a16:creationId xmlns:a16="http://schemas.microsoft.com/office/drawing/2014/main" id="{F6E80941-F347-4873-A965-CB19D38DDFBB}"/>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4" name="TextBox 27">
          <a:extLst>
            <a:ext uri="{FF2B5EF4-FFF2-40B4-BE49-F238E27FC236}">
              <a16:creationId xmlns:a16="http://schemas.microsoft.com/office/drawing/2014/main" id="{B6A7807A-589C-499F-8D56-3F7BF6C425C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5" name="TextBox 28">
          <a:extLst>
            <a:ext uri="{FF2B5EF4-FFF2-40B4-BE49-F238E27FC236}">
              <a16:creationId xmlns:a16="http://schemas.microsoft.com/office/drawing/2014/main" id="{6F17DAB9-0B31-45A0-9D22-A411AB3CD77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6" name="TextBox 29">
          <a:extLst>
            <a:ext uri="{FF2B5EF4-FFF2-40B4-BE49-F238E27FC236}">
              <a16:creationId xmlns:a16="http://schemas.microsoft.com/office/drawing/2014/main" id="{65ED3DBF-1F9A-4DCD-9310-FA44F6993DA5}"/>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7" name="TextBox 30">
          <a:extLst>
            <a:ext uri="{FF2B5EF4-FFF2-40B4-BE49-F238E27FC236}">
              <a16:creationId xmlns:a16="http://schemas.microsoft.com/office/drawing/2014/main" id="{9833EEF6-17E5-44FB-86A6-A513A95FAAF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8" name="TextBox 31">
          <a:extLst>
            <a:ext uri="{FF2B5EF4-FFF2-40B4-BE49-F238E27FC236}">
              <a16:creationId xmlns:a16="http://schemas.microsoft.com/office/drawing/2014/main" id="{F2459C6F-1796-47BC-9AD3-A20C73F893C9}"/>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9" name="TextBox 32">
          <a:extLst>
            <a:ext uri="{FF2B5EF4-FFF2-40B4-BE49-F238E27FC236}">
              <a16:creationId xmlns:a16="http://schemas.microsoft.com/office/drawing/2014/main" id="{2F6BF369-2273-44EB-8831-AD0309B93A2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0" name="TextBox 33">
          <a:extLst>
            <a:ext uri="{FF2B5EF4-FFF2-40B4-BE49-F238E27FC236}">
              <a16:creationId xmlns:a16="http://schemas.microsoft.com/office/drawing/2014/main" id="{79BFBCAB-189F-4003-B590-E58C236DDFF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1" name="TextBox 34">
          <a:extLst>
            <a:ext uri="{FF2B5EF4-FFF2-40B4-BE49-F238E27FC236}">
              <a16:creationId xmlns:a16="http://schemas.microsoft.com/office/drawing/2014/main" id="{55FCD9CA-EE06-492E-B202-8AAF921FD96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2" name="TextBox 35">
          <a:extLst>
            <a:ext uri="{FF2B5EF4-FFF2-40B4-BE49-F238E27FC236}">
              <a16:creationId xmlns:a16="http://schemas.microsoft.com/office/drawing/2014/main" id="{3EFB03FC-A33F-4345-ACEA-B4EAE069729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3" name="TextBox 36">
          <a:extLst>
            <a:ext uri="{FF2B5EF4-FFF2-40B4-BE49-F238E27FC236}">
              <a16:creationId xmlns:a16="http://schemas.microsoft.com/office/drawing/2014/main" id="{318EC1F6-AFE8-476E-98BC-50BF4773EFA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4" name="TextBox 37">
          <a:extLst>
            <a:ext uri="{FF2B5EF4-FFF2-40B4-BE49-F238E27FC236}">
              <a16:creationId xmlns:a16="http://schemas.microsoft.com/office/drawing/2014/main" id="{3C7154C9-89ED-4033-BB3F-C8D742B1F986}"/>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5" name="TextBox 38">
          <a:extLst>
            <a:ext uri="{FF2B5EF4-FFF2-40B4-BE49-F238E27FC236}">
              <a16:creationId xmlns:a16="http://schemas.microsoft.com/office/drawing/2014/main" id="{31DFD561-F534-4B06-83DB-1B781843DB8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6" name="TextBox 39">
          <a:extLst>
            <a:ext uri="{FF2B5EF4-FFF2-40B4-BE49-F238E27FC236}">
              <a16:creationId xmlns:a16="http://schemas.microsoft.com/office/drawing/2014/main" id="{AEFAC1CF-1A65-4BEE-9A5B-ED71DB21763B}"/>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7" name="TextBox 40">
          <a:extLst>
            <a:ext uri="{FF2B5EF4-FFF2-40B4-BE49-F238E27FC236}">
              <a16:creationId xmlns:a16="http://schemas.microsoft.com/office/drawing/2014/main" id="{AF7FA209-208D-4632-976C-825F811186A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8" name="TextBox 41">
          <a:extLst>
            <a:ext uri="{FF2B5EF4-FFF2-40B4-BE49-F238E27FC236}">
              <a16:creationId xmlns:a16="http://schemas.microsoft.com/office/drawing/2014/main" id="{3E122C55-E9F3-4D1D-B43D-6ECE798905A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9" name="TextBox 27">
          <a:extLst>
            <a:ext uri="{FF2B5EF4-FFF2-40B4-BE49-F238E27FC236}">
              <a16:creationId xmlns:a16="http://schemas.microsoft.com/office/drawing/2014/main" id="{7B9A4632-6BE6-460A-926F-C711EBF5197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0" name="TextBox 28">
          <a:extLst>
            <a:ext uri="{FF2B5EF4-FFF2-40B4-BE49-F238E27FC236}">
              <a16:creationId xmlns:a16="http://schemas.microsoft.com/office/drawing/2014/main" id="{582D29F3-DC46-4174-A134-192178BE12AB}"/>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1" name="TextBox 29">
          <a:extLst>
            <a:ext uri="{FF2B5EF4-FFF2-40B4-BE49-F238E27FC236}">
              <a16:creationId xmlns:a16="http://schemas.microsoft.com/office/drawing/2014/main" id="{B86E2DEC-89CF-4374-9166-D0888F54DCA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2" name="TextBox 30">
          <a:extLst>
            <a:ext uri="{FF2B5EF4-FFF2-40B4-BE49-F238E27FC236}">
              <a16:creationId xmlns:a16="http://schemas.microsoft.com/office/drawing/2014/main" id="{7741EFA8-E4E7-4855-BE55-2564AC83245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3" name="TextBox 31">
          <a:extLst>
            <a:ext uri="{FF2B5EF4-FFF2-40B4-BE49-F238E27FC236}">
              <a16:creationId xmlns:a16="http://schemas.microsoft.com/office/drawing/2014/main" id="{6F2885F8-53CA-428A-9911-17C5637B7CC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4" name="TextBox 32">
          <a:extLst>
            <a:ext uri="{FF2B5EF4-FFF2-40B4-BE49-F238E27FC236}">
              <a16:creationId xmlns:a16="http://schemas.microsoft.com/office/drawing/2014/main" id="{3839FAD1-ED6C-455A-B1FB-1083D96103E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5" name="TextBox 33">
          <a:extLst>
            <a:ext uri="{FF2B5EF4-FFF2-40B4-BE49-F238E27FC236}">
              <a16:creationId xmlns:a16="http://schemas.microsoft.com/office/drawing/2014/main" id="{B1671299-789E-46A7-AC3E-DA6718B1CB2B}"/>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6" name="TextBox 34">
          <a:extLst>
            <a:ext uri="{FF2B5EF4-FFF2-40B4-BE49-F238E27FC236}">
              <a16:creationId xmlns:a16="http://schemas.microsoft.com/office/drawing/2014/main" id="{37CCD307-817D-4BB5-9ED8-809BEA876A0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7" name="TextBox 35">
          <a:extLst>
            <a:ext uri="{FF2B5EF4-FFF2-40B4-BE49-F238E27FC236}">
              <a16:creationId xmlns:a16="http://schemas.microsoft.com/office/drawing/2014/main" id="{D57F071D-BA24-4951-A83E-DDA025B6ADF3}"/>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8" name="TextBox 36">
          <a:extLst>
            <a:ext uri="{FF2B5EF4-FFF2-40B4-BE49-F238E27FC236}">
              <a16:creationId xmlns:a16="http://schemas.microsoft.com/office/drawing/2014/main" id="{4628C279-7F3B-4507-BB59-FD580021C84C}"/>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9" name="TextBox 37">
          <a:extLst>
            <a:ext uri="{FF2B5EF4-FFF2-40B4-BE49-F238E27FC236}">
              <a16:creationId xmlns:a16="http://schemas.microsoft.com/office/drawing/2014/main" id="{E7FC7530-49C3-44D9-9B0A-CEB444AEB5F7}"/>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30" name="TextBox 38">
          <a:extLst>
            <a:ext uri="{FF2B5EF4-FFF2-40B4-BE49-F238E27FC236}">
              <a16:creationId xmlns:a16="http://schemas.microsoft.com/office/drawing/2014/main" id="{A1799AEC-E88F-49B3-9EBB-C25D33C3FEA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31" name="TextBox 39">
          <a:extLst>
            <a:ext uri="{FF2B5EF4-FFF2-40B4-BE49-F238E27FC236}">
              <a16:creationId xmlns:a16="http://schemas.microsoft.com/office/drawing/2014/main" id="{900FB943-7699-4277-8068-26ADB6240EE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32" name="TextBox 40">
          <a:extLst>
            <a:ext uri="{FF2B5EF4-FFF2-40B4-BE49-F238E27FC236}">
              <a16:creationId xmlns:a16="http://schemas.microsoft.com/office/drawing/2014/main" id="{AE9DAEBC-8A5B-4ABC-A9B8-4FFF037F118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33" name="TextBox 7">
          <a:extLst>
            <a:ext uri="{FF2B5EF4-FFF2-40B4-BE49-F238E27FC236}">
              <a16:creationId xmlns:a16="http://schemas.microsoft.com/office/drawing/2014/main" id="{D32BA71D-CBDB-49AE-8068-544964846503}"/>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34" name="TextBox 26">
          <a:extLst>
            <a:ext uri="{FF2B5EF4-FFF2-40B4-BE49-F238E27FC236}">
              <a16:creationId xmlns:a16="http://schemas.microsoft.com/office/drawing/2014/main" id="{6B8AA213-F2B0-4F84-BFD4-2E1827119487}"/>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35" name="TextBox 27">
          <a:extLst>
            <a:ext uri="{FF2B5EF4-FFF2-40B4-BE49-F238E27FC236}">
              <a16:creationId xmlns:a16="http://schemas.microsoft.com/office/drawing/2014/main" id="{498AA86F-BE45-4A1C-9811-4EDFCEC1A77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36" name="TextBox 28">
          <a:extLst>
            <a:ext uri="{FF2B5EF4-FFF2-40B4-BE49-F238E27FC236}">
              <a16:creationId xmlns:a16="http://schemas.microsoft.com/office/drawing/2014/main" id="{38D1219E-E0A3-4BE5-8FFF-BE2B07DBB59B}"/>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37" name="TextBox 29">
          <a:extLst>
            <a:ext uri="{FF2B5EF4-FFF2-40B4-BE49-F238E27FC236}">
              <a16:creationId xmlns:a16="http://schemas.microsoft.com/office/drawing/2014/main" id="{27FB0A2C-ABF2-4432-A442-5BFCA939F2A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38" name="TextBox 30">
          <a:extLst>
            <a:ext uri="{FF2B5EF4-FFF2-40B4-BE49-F238E27FC236}">
              <a16:creationId xmlns:a16="http://schemas.microsoft.com/office/drawing/2014/main" id="{0C1D279C-D2B4-401F-BB55-59A4EB71688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39" name="TextBox 31">
          <a:extLst>
            <a:ext uri="{FF2B5EF4-FFF2-40B4-BE49-F238E27FC236}">
              <a16:creationId xmlns:a16="http://schemas.microsoft.com/office/drawing/2014/main" id="{0FB48E65-4245-4744-89A3-9079750AC58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40" name="TextBox 32">
          <a:extLst>
            <a:ext uri="{FF2B5EF4-FFF2-40B4-BE49-F238E27FC236}">
              <a16:creationId xmlns:a16="http://schemas.microsoft.com/office/drawing/2014/main" id="{56F6DB86-C22E-41C3-890C-E0A48C7EFD85}"/>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41" name="TextBox 33">
          <a:extLst>
            <a:ext uri="{FF2B5EF4-FFF2-40B4-BE49-F238E27FC236}">
              <a16:creationId xmlns:a16="http://schemas.microsoft.com/office/drawing/2014/main" id="{99B21620-8A65-4E39-8FC3-3D58D242EC6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42" name="TextBox 34">
          <a:extLst>
            <a:ext uri="{FF2B5EF4-FFF2-40B4-BE49-F238E27FC236}">
              <a16:creationId xmlns:a16="http://schemas.microsoft.com/office/drawing/2014/main" id="{3B6F88C3-C1A8-4221-A061-7A66E6B5ECC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43" name="TextBox 35">
          <a:extLst>
            <a:ext uri="{FF2B5EF4-FFF2-40B4-BE49-F238E27FC236}">
              <a16:creationId xmlns:a16="http://schemas.microsoft.com/office/drawing/2014/main" id="{F3DE0C8C-963E-4F7C-93F2-95B0CA17CF26}"/>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44" name="TextBox 36">
          <a:extLst>
            <a:ext uri="{FF2B5EF4-FFF2-40B4-BE49-F238E27FC236}">
              <a16:creationId xmlns:a16="http://schemas.microsoft.com/office/drawing/2014/main" id="{15724843-DAEE-435E-89D9-6B1B7044697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45" name="TextBox 37">
          <a:extLst>
            <a:ext uri="{FF2B5EF4-FFF2-40B4-BE49-F238E27FC236}">
              <a16:creationId xmlns:a16="http://schemas.microsoft.com/office/drawing/2014/main" id="{1C389036-59BD-48CF-8BF1-2FB34D63746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46" name="TextBox 38">
          <a:extLst>
            <a:ext uri="{FF2B5EF4-FFF2-40B4-BE49-F238E27FC236}">
              <a16:creationId xmlns:a16="http://schemas.microsoft.com/office/drawing/2014/main" id="{93653C1B-AC30-47CA-A179-D902BE74238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47" name="TextBox 39">
          <a:extLst>
            <a:ext uri="{FF2B5EF4-FFF2-40B4-BE49-F238E27FC236}">
              <a16:creationId xmlns:a16="http://schemas.microsoft.com/office/drawing/2014/main" id="{7CC46A62-0D2A-408A-A42D-73046FD8E9A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48" name="TextBox 40">
          <a:extLst>
            <a:ext uri="{FF2B5EF4-FFF2-40B4-BE49-F238E27FC236}">
              <a16:creationId xmlns:a16="http://schemas.microsoft.com/office/drawing/2014/main" id="{F42D71D2-4AAF-4E19-B287-91F3E48D0C3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49" name="TextBox 7">
          <a:extLst>
            <a:ext uri="{FF2B5EF4-FFF2-40B4-BE49-F238E27FC236}">
              <a16:creationId xmlns:a16="http://schemas.microsoft.com/office/drawing/2014/main" id="{858149ED-6E35-49A1-9A72-B3C4A7BF182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50" name="TextBox 26">
          <a:extLst>
            <a:ext uri="{FF2B5EF4-FFF2-40B4-BE49-F238E27FC236}">
              <a16:creationId xmlns:a16="http://schemas.microsoft.com/office/drawing/2014/main" id="{891CADD7-A5F8-4120-AA44-D6A24550EE9B}"/>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51" name="TextBox 27">
          <a:extLst>
            <a:ext uri="{FF2B5EF4-FFF2-40B4-BE49-F238E27FC236}">
              <a16:creationId xmlns:a16="http://schemas.microsoft.com/office/drawing/2014/main" id="{DCBC1434-2834-4F79-BFE2-EEF4C39EA269}"/>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52" name="TextBox 28">
          <a:extLst>
            <a:ext uri="{FF2B5EF4-FFF2-40B4-BE49-F238E27FC236}">
              <a16:creationId xmlns:a16="http://schemas.microsoft.com/office/drawing/2014/main" id="{DFB05A75-FF7D-4100-B578-0C2D5969F06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53" name="TextBox 29">
          <a:extLst>
            <a:ext uri="{FF2B5EF4-FFF2-40B4-BE49-F238E27FC236}">
              <a16:creationId xmlns:a16="http://schemas.microsoft.com/office/drawing/2014/main" id="{9B341D8B-2FC8-48B8-9B77-82DF0A67F46C}"/>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54" name="TextBox 30">
          <a:extLst>
            <a:ext uri="{FF2B5EF4-FFF2-40B4-BE49-F238E27FC236}">
              <a16:creationId xmlns:a16="http://schemas.microsoft.com/office/drawing/2014/main" id="{883ED323-1EA1-4B60-9CEF-96814619958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55" name="TextBox 31">
          <a:extLst>
            <a:ext uri="{FF2B5EF4-FFF2-40B4-BE49-F238E27FC236}">
              <a16:creationId xmlns:a16="http://schemas.microsoft.com/office/drawing/2014/main" id="{AFF5620D-1437-4BC7-A406-848651798E1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56" name="TextBox 32">
          <a:extLst>
            <a:ext uri="{FF2B5EF4-FFF2-40B4-BE49-F238E27FC236}">
              <a16:creationId xmlns:a16="http://schemas.microsoft.com/office/drawing/2014/main" id="{B8751B4C-78F4-4EC8-95F3-933EAC5F8561}"/>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57" name="TextBox 33">
          <a:extLst>
            <a:ext uri="{FF2B5EF4-FFF2-40B4-BE49-F238E27FC236}">
              <a16:creationId xmlns:a16="http://schemas.microsoft.com/office/drawing/2014/main" id="{6ED6F67C-E513-4163-A868-4B9A4FE5AEC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58" name="TextBox 34">
          <a:extLst>
            <a:ext uri="{FF2B5EF4-FFF2-40B4-BE49-F238E27FC236}">
              <a16:creationId xmlns:a16="http://schemas.microsoft.com/office/drawing/2014/main" id="{7F89C9CD-DA63-45D0-B2E4-C15CD6379F9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59" name="TextBox 35">
          <a:extLst>
            <a:ext uri="{FF2B5EF4-FFF2-40B4-BE49-F238E27FC236}">
              <a16:creationId xmlns:a16="http://schemas.microsoft.com/office/drawing/2014/main" id="{7D874283-38BD-43BE-AA6C-2A741D940B1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60" name="TextBox 36">
          <a:extLst>
            <a:ext uri="{FF2B5EF4-FFF2-40B4-BE49-F238E27FC236}">
              <a16:creationId xmlns:a16="http://schemas.microsoft.com/office/drawing/2014/main" id="{89F29F39-D6E5-407D-B509-893E84E26737}"/>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61" name="TextBox 37">
          <a:extLst>
            <a:ext uri="{FF2B5EF4-FFF2-40B4-BE49-F238E27FC236}">
              <a16:creationId xmlns:a16="http://schemas.microsoft.com/office/drawing/2014/main" id="{0F4A5508-03BE-40B8-B04A-24D42A99085C}"/>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62" name="TextBox 38">
          <a:extLst>
            <a:ext uri="{FF2B5EF4-FFF2-40B4-BE49-F238E27FC236}">
              <a16:creationId xmlns:a16="http://schemas.microsoft.com/office/drawing/2014/main" id="{1DCAF0B4-9053-439B-8D54-9F03548FB499}"/>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63" name="TextBox 39">
          <a:extLst>
            <a:ext uri="{FF2B5EF4-FFF2-40B4-BE49-F238E27FC236}">
              <a16:creationId xmlns:a16="http://schemas.microsoft.com/office/drawing/2014/main" id="{E37D5ADA-2F0B-414A-8A42-782DC7779F1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64" name="TextBox 26">
          <a:extLst>
            <a:ext uri="{FF2B5EF4-FFF2-40B4-BE49-F238E27FC236}">
              <a16:creationId xmlns:a16="http://schemas.microsoft.com/office/drawing/2014/main" id="{9A9B32D5-896C-4580-B5FA-1D43165D5BA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65" name="TextBox 27">
          <a:extLst>
            <a:ext uri="{FF2B5EF4-FFF2-40B4-BE49-F238E27FC236}">
              <a16:creationId xmlns:a16="http://schemas.microsoft.com/office/drawing/2014/main" id="{E1BFB98F-029D-4574-9DAA-4CE7F33C45F5}"/>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66" name="TextBox 28">
          <a:extLst>
            <a:ext uri="{FF2B5EF4-FFF2-40B4-BE49-F238E27FC236}">
              <a16:creationId xmlns:a16="http://schemas.microsoft.com/office/drawing/2014/main" id="{9CBE33BE-F9C1-4F19-B0BA-F31196E66A5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67" name="TextBox 29">
          <a:extLst>
            <a:ext uri="{FF2B5EF4-FFF2-40B4-BE49-F238E27FC236}">
              <a16:creationId xmlns:a16="http://schemas.microsoft.com/office/drawing/2014/main" id="{92B2AC6D-9736-431F-8C6C-CC605784175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68" name="TextBox 30">
          <a:extLst>
            <a:ext uri="{FF2B5EF4-FFF2-40B4-BE49-F238E27FC236}">
              <a16:creationId xmlns:a16="http://schemas.microsoft.com/office/drawing/2014/main" id="{E007C111-26CB-4EA5-B3FC-647EB95B4277}"/>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69" name="TextBox 31">
          <a:extLst>
            <a:ext uri="{FF2B5EF4-FFF2-40B4-BE49-F238E27FC236}">
              <a16:creationId xmlns:a16="http://schemas.microsoft.com/office/drawing/2014/main" id="{B6C06FF5-AC41-49AB-9BF9-6A985F079D9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70" name="TextBox 32">
          <a:extLst>
            <a:ext uri="{FF2B5EF4-FFF2-40B4-BE49-F238E27FC236}">
              <a16:creationId xmlns:a16="http://schemas.microsoft.com/office/drawing/2014/main" id="{E7F6644F-1C4A-4666-83A0-1A0A43D38469}"/>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71" name="TextBox 33">
          <a:extLst>
            <a:ext uri="{FF2B5EF4-FFF2-40B4-BE49-F238E27FC236}">
              <a16:creationId xmlns:a16="http://schemas.microsoft.com/office/drawing/2014/main" id="{415BB7D4-AEF8-4FF2-BD58-AAA59DE1B0E3}"/>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72" name="TextBox 34">
          <a:extLst>
            <a:ext uri="{FF2B5EF4-FFF2-40B4-BE49-F238E27FC236}">
              <a16:creationId xmlns:a16="http://schemas.microsoft.com/office/drawing/2014/main" id="{665709FC-5D71-4F83-91B6-393859E42C4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73" name="TextBox 35">
          <a:extLst>
            <a:ext uri="{FF2B5EF4-FFF2-40B4-BE49-F238E27FC236}">
              <a16:creationId xmlns:a16="http://schemas.microsoft.com/office/drawing/2014/main" id="{C3A9CE52-EB71-404C-AD39-AEC7D34C4109}"/>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74" name="TextBox 36">
          <a:extLst>
            <a:ext uri="{FF2B5EF4-FFF2-40B4-BE49-F238E27FC236}">
              <a16:creationId xmlns:a16="http://schemas.microsoft.com/office/drawing/2014/main" id="{8195B6AA-024A-4DE8-A723-FE0D204687B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75" name="TextBox 37">
          <a:extLst>
            <a:ext uri="{FF2B5EF4-FFF2-40B4-BE49-F238E27FC236}">
              <a16:creationId xmlns:a16="http://schemas.microsoft.com/office/drawing/2014/main" id="{0D919D8E-32B6-450C-95C2-708D8136E585}"/>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76" name="TextBox 38">
          <a:extLst>
            <a:ext uri="{FF2B5EF4-FFF2-40B4-BE49-F238E27FC236}">
              <a16:creationId xmlns:a16="http://schemas.microsoft.com/office/drawing/2014/main" id="{A6696509-BB9C-43F6-909A-6824689391E9}"/>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77" name="TextBox 40">
          <a:extLst>
            <a:ext uri="{FF2B5EF4-FFF2-40B4-BE49-F238E27FC236}">
              <a16:creationId xmlns:a16="http://schemas.microsoft.com/office/drawing/2014/main" id="{1BD047C0-CFFC-4D4A-9C4E-D546BB7D6F09}"/>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78" name="TextBox 7">
          <a:extLst>
            <a:ext uri="{FF2B5EF4-FFF2-40B4-BE49-F238E27FC236}">
              <a16:creationId xmlns:a16="http://schemas.microsoft.com/office/drawing/2014/main" id="{758E12AC-368C-4336-BE2A-A2F81E4FC2D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79" name="TextBox 26">
          <a:extLst>
            <a:ext uri="{FF2B5EF4-FFF2-40B4-BE49-F238E27FC236}">
              <a16:creationId xmlns:a16="http://schemas.microsoft.com/office/drawing/2014/main" id="{D4F820C3-1FA3-418F-BDC4-1E154F4368B9}"/>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80" name="TextBox 27">
          <a:extLst>
            <a:ext uri="{FF2B5EF4-FFF2-40B4-BE49-F238E27FC236}">
              <a16:creationId xmlns:a16="http://schemas.microsoft.com/office/drawing/2014/main" id="{DA05739A-1F37-4EFA-A5B8-064AAE30C6EC}"/>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81" name="TextBox 28">
          <a:extLst>
            <a:ext uri="{FF2B5EF4-FFF2-40B4-BE49-F238E27FC236}">
              <a16:creationId xmlns:a16="http://schemas.microsoft.com/office/drawing/2014/main" id="{95642D2E-4E1F-40C1-BFA2-126D84BF5DF5}"/>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82" name="TextBox 29">
          <a:extLst>
            <a:ext uri="{FF2B5EF4-FFF2-40B4-BE49-F238E27FC236}">
              <a16:creationId xmlns:a16="http://schemas.microsoft.com/office/drawing/2014/main" id="{CA7E009B-797A-40E9-9CC4-B56AC7D44CF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83" name="TextBox 30">
          <a:extLst>
            <a:ext uri="{FF2B5EF4-FFF2-40B4-BE49-F238E27FC236}">
              <a16:creationId xmlns:a16="http://schemas.microsoft.com/office/drawing/2014/main" id="{854B7CBE-45A2-4C49-9ECF-F31577B4F4C9}"/>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84" name="TextBox 31">
          <a:extLst>
            <a:ext uri="{FF2B5EF4-FFF2-40B4-BE49-F238E27FC236}">
              <a16:creationId xmlns:a16="http://schemas.microsoft.com/office/drawing/2014/main" id="{52C73EC3-8B0B-4F75-AF76-891945DE6A7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85" name="TextBox 32">
          <a:extLst>
            <a:ext uri="{FF2B5EF4-FFF2-40B4-BE49-F238E27FC236}">
              <a16:creationId xmlns:a16="http://schemas.microsoft.com/office/drawing/2014/main" id="{CFE4CA12-566C-4C52-9284-04DDA2D4454B}"/>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86" name="TextBox 33">
          <a:extLst>
            <a:ext uri="{FF2B5EF4-FFF2-40B4-BE49-F238E27FC236}">
              <a16:creationId xmlns:a16="http://schemas.microsoft.com/office/drawing/2014/main" id="{2F3EF9CC-A6C7-461E-8851-4C5D9E5CE83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87" name="TextBox 34">
          <a:extLst>
            <a:ext uri="{FF2B5EF4-FFF2-40B4-BE49-F238E27FC236}">
              <a16:creationId xmlns:a16="http://schemas.microsoft.com/office/drawing/2014/main" id="{202BB83D-B3A9-4B3F-97AD-1FFAB3F974E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88" name="TextBox 35">
          <a:extLst>
            <a:ext uri="{FF2B5EF4-FFF2-40B4-BE49-F238E27FC236}">
              <a16:creationId xmlns:a16="http://schemas.microsoft.com/office/drawing/2014/main" id="{E84F55BA-0052-4B82-BEB9-CFFC84F560DC}"/>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89" name="TextBox 36">
          <a:extLst>
            <a:ext uri="{FF2B5EF4-FFF2-40B4-BE49-F238E27FC236}">
              <a16:creationId xmlns:a16="http://schemas.microsoft.com/office/drawing/2014/main" id="{66A0EAC6-CCB8-4F29-ABFF-6E1A91E3AC6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90" name="TextBox 37">
          <a:extLst>
            <a:ext uri="{FF2B5EF4-FFF2-40B4-BE49-F238E27FC236}">
              <a16:creationId xmlns:a16="http://schemas.microsoft.com/office/drawing/2014/main" id="{6C59F95D-95B9-4BD4-BF2F-471A7F816B73}"/>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91" name="TextBox 38">
          <a:extLst>
            <a:ext uri="{FF2B5EF4-FFF2-40B4-BE49-F238E27FC236}">
              <a16:creationId xmlns:a16="http://schemas.microsoft.com/office/drawing/2014/main" id="{452CD1DE-E4D4-42AD-B998-CDE60F31F59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92" name="TextBox 39">
          <a:extLst>
            <a:ext uri="{FF2B5EF4-FFF2-40B4-BE49-F238E27FC236}">
              <a16:creationId xmlns:a16="http://schemas.microsoft.com/office/drawing/2014/main" id="{C7FDFEF8-36AD-4EF9-BB16-AFDC8C6DE2A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93" name="TextBox 40">
          <a:extLst>
            <a:ext uri="{FF2B5EF4-FFF2-40B4-BE49-F238E27FC236}">
              <a16:creationId xmlns:a16="http://schemas.microsoft.com/office/drawing/2014/main" id="{47E21483-96BC-419B-8AB8-BB08F106EF9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94" name="TextBox 41">
          <a:extLst>
            <a:ext uri="{FF2B5EF4-FFF2-40B4-BE49-F238E27FC236}">
              <a16:creationId xmlns:a16="http://schemas.microsoft.com/office/drawing/2014/main" id="{6ED7449C-BC2E-4131-AF83-DC4C5BE55F7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95" name="TextBox 7">
          <a:extLst>
            <a:ext uri="{FF2B5EF4-FFF2-40B4-BE49-F238E27FC236}">
              <a16:creationId xmlns:a16="http://schemas.microsoft.com/office/drawing/2014/main" id="{62B807FB-7460-42C4-9C91-0904502FE3BC}"/>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96" name="TextBox 26">
          <a:extLst>
            <a:ext uri="{FF2B5EF4-FFF2-40B4-BE49-F238E27FC236}">
              <a16:creationId xmlns:a16="http://schemas.microsoft.com/office/drawing/2014/main" id="{7A3F9C8A-994D-4D3B-BD16-F20012259616}"/>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97" name="TextBox 27">
          <a:extLst>
            <a:ext uri="{FF2B5EF4-FFF2-40B4-BE49-F238E27FC236}">
              <a16:creationId xmlns:a16="http://schemas.microsoft.com/office/drawing/2014/main" id="{38AAE5E4-3D28-4625-BFFC-AAC588C429E5}"/>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98" name="TextBox 28">
          <a:extLst>
            <a:ext uri="{FF2B5EF4-FFF2-40B4-BE49-F238E27FC236}">
              <a16:creationId xmlns:a16="http://schemas.microsoft.com/office/drawing/2014/main" id="{07A0A634-D6A7-4C9B-8A3D-DCA798CAF04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99" name="TextBox 29">
          <a:extLst>
            <a:ext uri="{FF2B5EF4-FFF2-40B4-BE49-F238E27FC236}">
              <a16:creationId xmlns:a16="http://schemas.microsoft.com/office/drawing/2014/main" id="{B285B0DA-0BE1-4011-B31F-ACA8493B6527}"/>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00" name="TextBox 30">
          <a:extLst>
            <a:ext uri="{FF2B5EF4-FFF2-40B4-BE49-F238E27FC236}">
              <a16:creationId xmlns:a16="http://schemas.microsoft.com/office/drawing/2014/main" id="{25CB1092-E2C7-4215-8299-2FA15459235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01" name="TextBox 31">
          <a:extLst>
            <a:ext uri="{FF2B5EF4-FFF2-40B4-BE49-F238E27FC236}">
              <a16:creationId xmlns:a16="http://schemas.microsoft.com/office/drawing/2014/main" id="{8938BEFE-6DB3-464E-A018-816B339A691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02" name="TextBox 32">
          <a:extLst>
            <a:ext uri="{FF2B5EF4-FFF2-40B4-BE49-F238E27FC236}">
              <a16:creationId xmlns:a16="http://schemas.microsoft.com/office/drawing/2014/main" id="{7CF36320-5305-4495-ADC0-2FD77506D361}"/>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03" name="TextBox 33">
          <a:extLst>
            <a:ext uri="{FF2B5EF4-FFF2-40B4-BE49-F238E27FC236}">
              <a16:creationId xmlns:a16="http://schemas.microsoft.com/office/drawing/2014/main" id="{3C82D2B1-41C8-4F9D-ADE1-CBEE2A589D9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04" name="TextBox 34">
          <a:extLst>
            <a:ext uri="{FF2B5EF4-FFF2-40B4-BE49-F238E27FC236}">
              <a16:creationId xmlns:a16="http://schemas.microsoft.com/office/drawing/2014/main" id="{92954479-35AB-46DA-8312-BCB25509AE3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05" name="TextBox 35">
          <a:extLst>
            <a:ext uri="{FF2B5EF4-FFF2-40B4-BE49-F238E27FC236}">
              <a16:creationId xmlns:a16="http://schemas.microsoft.com/office/drawing/2014/main" id="{ACF4EDA5-A827-4028-B6D7-3B7B83C958D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06" name="TextBox 36">
          <a:extLst>
            <a:ext uri="{FF2B5EF4-FFF2-40B4-BE49-F238E27FC236}">
              <a16:creationId xmlns:a16="http://schemas.microsoft.com/office/drawing/2014/main" id="{DBDD8ABC-523F-41AA-A403-845E9FED2F2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07" name="TextBox 37">
          <a:extLst>
            <a:ext uri="{FF2B5EF4-FFF2-40B4-BE49-F238E27FC236}">
              <a16:creationId xmlns:a16="http://schemas.microsoft.com/office/drawing/2014/main" id="{DE407206-ECF3-4BF7-AB2B-925C2E04A1E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08" name="TextBox 38">
          <a:extLst>
            <a:ext uri="{FF2B5EF4-FFF2-40B4-BE49-F238E27FC236}">
              <a16:creationId xmlns:a16="http://schemas.microsoft.com/office/drawing/2014/main" id="{C2B527F9-095D-417B-BB90-53EC5E8F3536}"/>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09" name="TextBox 39">
          <a:extLst>
            <a:ext uri="{FF2B5EF4-FFF2-40B4-BE49-F238E27FC236}">
              <a16:creationId xmlns:a16="http://schemas.microsoft.com/office/drawing/2014/main" id="{9E98AB0E-3224-4EE5-A6FC-A954F32C129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10" name="TextBox 40">
          <a:extLst>
            <a:ext uri="{FF2B5EF4-FFF2-40B4-BE49-F238E27FC236}">
              <a16:creationId xmlns:a16="http://schemas.microsoft.com/office/drawing/2014/main" id="{B53D093C-0CA9-44AA-9E10-EF95C6152EE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11" name="TextBox 41">
          <a:extLst>
            <a:ext uri="{FF2B5EF4-FFF2-40B4-BE49-F238E27FC236}">
              <a16:creationId xmlns:a16="http://schemas.microsoft.com/office/drawing/2014/main" id="{5074A167-A5AD-43BE-877A-9B63E8F19E65}"/>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12" name="TextBox 7">
          <a:extLst>
            <a:ext uri="{FF2B5EF4-FFF2-40B4-BE49-F238E27FC236}">
              <a16:creationId xmlns:a16="http://schemas.microsoft.com/office/drawing/2014/main" id="{5920D6C8-CD7A-421D-8C55-E1C959250BD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13" name="TextBox 26">
          <a:extLst>
            <a:ext uri="{FF2B5EF4-FFF2-40B4-BE49-F238E27FC236}">
              <a16:creationId xmlns:a16="http://schemas.microsoft.com/office/drawing/2014/main" id="{1B636BD3-1DD5-4CEB-A79C-FFF3492EF5BC}"/>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14" name="TextBox 27">
          <a:extLst>
            <a:ext uri="{FF2B5EF4-FFF2-40B4-BE49-F238E27FC236}">
              <a16:creationId xmlns:a16="http://schemas.microsoft.com/office/drawing/2014/main" id="{8F5EDECE-B683-40A2-9E0B-8FF60D72FC5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15" name="TextBox 28">
          <a:extLst>
            <a:ext uri="{FF2B5EF4-FFF2-40B4-BE49-F238E27FC236}">
              <a16:creationId xmlns:a16="http://schemas.microsoft.com/office/drawing/2014/main" id="{CDC67AD9-5F04-4CC6-B5B9-C5782EEF8FD5}"/>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16" name="TextBox 29">
          <a:extLst>
            <a:ext uri="{FF2B5EF4-FFF2-40B4-BE49-F238E27FC236}">
              <a16:creationId xmlns:a16="http://schemas.microsoft.com/office/drawing/2014/main" id="{7BB66E1E-F783-4D9D-A135-762919AF7E9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17" name="TextBox 30">
          <a:extLst>
            <a:ext uri="{FF2B5EF4-FFF2-40B4-BE49-F238E27FC236}">
              <a16:creationId xmlns:a16="http://schemas.microsoft.com/office/drawing/2014/main" id="{3CA12AC9-F5CF-4C37-A10F-13FBF3853D05}"/>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18" name="TextBox 31">
          <a:extLst>
            <a:ext uri="{FF2B5EF4-FFF2-40B4-BE49-F238E27FC236}">
              <a16:creationId xmlns:a16="http://schemas.microsoft.com/office/drawing/2014/main" id="{9B86C29F-5DC5-4855-AB21-59CD97AAC77B}"/>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19" name="TextBox 32">
          <a:extLst>
            <a:ext uri="{FF2B5EF4-FFF2-40B4-BE49-F238E27FC236}">
              <a16:creationId xmlns:a16="http://schemas.microsoft.com/office/drawing/2014/main" id="{D73CD8B5-D505-40B6-9457-78D9DABAF07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20" name="TextBox 33">
          <a:extLst>
            <a:ext uri="{FF2B5EF4-FFF2-40B4-BE49-F238E27FC236}">
              <a16:creationId xmlns:a16="http://schemas.microsoft.com/office/drawing/2014/main" id="{2463D338-0ABC-4E57-99F7-9538460B025B}"/>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21" name="TextBox 34">
          <a:extLst>
            <a:ext uri="{FF2B5EF4-FFF2-40B4-BE49-F238E27FC236}">
              <a16:creationId xmlns:a16="http://schemas.microsoft.com/office/drawing/2014/main" id="{DEE3C374-9CDD-408F-ADC8-58DCE8C31CE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22" name="TextBox 35">
          <a:extLst>
            <a:ext uri="{FF2B5EF4-FFF2-40B4-BE49-F238E27FC236}">
              <a16:creationId xmlns:a16="http://schemas.microsoft.com/office/drawing/2014/main" id="{BC6909DE-53F8-4D86-BD75-26FADF1FAF6C}"/>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23" name="TextBox 36">
          <a:extLst>
            <a:ext uri="{FF2B5EF4-FFF2-40B4-BE49-F238E27FC236}">
              <a16:creationId xmlns:a16="http://schemas.microsoft.com/office/drawing/2014/main" id="{9921DFCD-EB0C-4D6D-88EC-28BDF6B56026}"/>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24" name="TextBox 37">
          <a:extLst>
            <a:ext uri="{FF2B5EF4-FFF2-40B4-BE49-F238E27FC236}">
              <a16:creationId xmlns:a16="http://schemas.microsoft.com/office/drawing/2014/main" id="{39EAB58F-2E85-4FFB-A88F-EDD6ECD5379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25" name="TextBox 38">
          <a:extLst>
            <a:ext uri="{FF2B5EF4-FFF2-40B4-BE49-F238E27FC236}">
              <a16:creationId xmlns:a16="http://schemas.microsoft.com/office/drawing/2014/main" id="{D6BDBED6-6255-4FF8-82B6-F490F83A302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26" name="TextBox 39">
          <a:extLst>
            <a:ext uri="{FF2B5EF4-FFF2-40B4-BE49-F238E27FC236}">
              <a16:creationId xmlns:a16="http://schemas.microsoft.com/office/drawing/2014/main" id="{4CA3970D-FA9D-4436-9E4E-A8F45366BE09}"/>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27" name="TextBox 40">
          <a:extLst>
            <a:ext uri="{FF2B5EF4-FFF2-40B4-BE49-F238E27FC236}">
              <a16:creationId xmlns:a16="http://schemas.microsoft.com/office/drawing/2014/main" id="{322F4BF7-0E1B-457E-94AB-3AF1E785E76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28" name="TextBox 41">
          <a:extLst>
            <a:ext uri="{FF2B5EF4-FFF2-40B4-BE49-F238E27FC236}">
              <a16:creationId xmlns:a16="http://schemas.microsoft.com/office/drawing/2014/main" id="{3F73A1A1-0F2A-406A-B791-98CC416921E3}"/>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29" name="TextBox 27">
          <a:extLst>
            <a:ext uri="{FF2B5EF4-FFF2-40B4-BE49-F238E27FC236}">
              <a16:creationId xmlns:a16="http://schemas.microsoft.com/office/drawing/2014/main" id="{2FE3C8EA-E8FF-4425-A56E-BFB299238F0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30" name="TextBox 28">
          <a:extLst>
            <a:ext uri="{FF2B5EF4-FFF2-40B4-BE49-F238E27FC236}">
              <a16:creationId xmlns:a16="http://schemas.microsoft.com/office/drawing/2014/main" id="{CFB98C24-0B59-4946-B88A-CD5FC43869D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31" name="TextBox 29">
          <a:extLst>
            <a:ext uri="{FF2B5EF4-FFF2-40B4-BE49-F238E27FC236}">
              <a16:creationId xmlns:a16="http://schemas.microsoft.com/office/drawing/2014/main" id="{28D2AED6-3E48-494B-885C-01FDA9D1EB15}"/>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32" name="TextBox 30">
          <a:extLst>
            <a:ext uri="{FF2B5EF4-FFF2-40B4-BE49-F238E27FC236}">
              <a16:creationId xmlns:a16="http://schemas.microsoft.com/office/drawing/2014/main" id="{64C9C6C4-81AC-4BD7-B045-1567D3515C5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33" name="TextBox 31">
          <a:extLst>
            <a:ext uri="{FF2B5EF4-FFF2-40B4-BE49-F238E27FC236}">
              <a16:creationId xmlns:a16="http://schemas.microsoft.com/office/drawing/2014/main" id="{59DD8D59-D39E-4BCA-9CF5-79125478A3C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34" name="TextBox 32">
          <a:extLst>
            <a:ext uri="{FF2B5EF4-FFF2-40B4-BE49-F238E27FC236}">
              <a16:creationId xmlns:a16="http://schemas.microsoft.com/office/drawing/2014/main" id="{25A93070-267F-4F53-9E30-4E83DC9128E1}"/>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35" name="TextBox 33">
          <a:extLst>
            <a:ext uri="{FF2B5EF4-FFF2-40B4-BE49-F238E27FC236}">
              <a16:creationId xmlns:a16="http://schemas.microsoft.com/office/drawing/2014/main" id="{0B9AD987-CD18-45FC-907C-776C5123B44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36" name="TextBox 34">
          <a:extLst>
            <a:ext uri="{FF2B5EF4-FFF2-40B4-BE49-F238E27FC236}">
              <a16:creationId xmlns:a16="http://schemas.microsoft.com/office/drawing/2014/main" id="{11C78995-8E1B-4533-A1A0-6F53C4D9178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37" name="TextBox 35">
          <a:extLst>
            <a:ext uri="{FF2B5EF4-FFF2-40B4-BE49-F238E27FC236}">
              <a16:creationId xmlns:a16="http://schemas.microsoft.com/office/drawing/2014/main" id="{6865C0A4-9FF3-48F0-A9CA-7AC05801FA3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38" name="TextBox 36">
          <a:extLst>
            <a:ext uri="{FF2B5EF4-FFF2-40B4-BE49-F238E27FC236}">
              <a16:creationId xmlns:a16="http://schemas.microsoft.com/office/drawing/2014/main" id="{CDC28771-E67E-4E65-8BB4-743B156640D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39" name="TextBox 37">
          <a:extLst>
            <a:ext uri="{FF2B5EF4-FFF2-40B4-BE49-F238E27FC236}">
              <a16:creationId xmlns:a16="http://schemas.microsoft.com/office/drawing/2014/main" id="{DC38C382-5776-4055-B624-7F75DD803F8B}"/>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40" name="TextBox 38">
          <a:extLst>
            <a:ext uri="{FF2B5EF4-FFF2-40B4-BE49-F238E27FC236}">
              <a16:creationId xmlns:a16="http://schemas.microsoft.com/office/drawing/2014/main" id="{BCE5C452-0962-4C63-B2DC-689DC6A4B93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41" name="TextBox 39">
          <a:extLst>
            <a:ext uri="{FF2B5EF4-FFF2-40B4-BE49-F238E27FC236}">
              <a16:creationId xmlns:a16="http://schemas.microsoft.com/office/drawing/2014/main" id="{F610A0FB-80C4-490C-A57E-631D2413268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42" name="TextBox 40">
          <a:extLst>
            <a:ext uri="{FF2B5EF4-FFF2-40B4-BE49-F238E27FC236}">
              <a16:creationId xmlns:a16="http://schemas.microsoft.com/office/drawing/2014/main" id="{B9B8CC5E-2E8C-4093-B0B1-54612791CC71}"/>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43" name="TextBox 26">
          <a:extLst>
            <a:ext uri="{FF2B5EF4-FFF2-40B4-BE49-F238E27FC236}">
              <a16:creationId xmlns:a16="http://schemas.microsoft.com/office/drawing/2014/main" id="{D334C3C2-DF40-4A30-97D5-8E7169EA7229}"/>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44" name="TextBox 27">
          <a:extLst>
            <a:ext uri="{FF2B5EF4-FFF2-40B4-BE49-F238E27FC236}">
              <a16:creationId xmlns:a16="http://schemas.microsoft.com/office/drawing/2014/main" id="{DD961186-725D-406B-82A6-9C4736E365D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45" name="TextBox 28">
          <a:extLst>
            <a:ext uri="{FF2B5EF4-FFF2-40B4-BE49-F238E27FC236}">
              <a16:creationId xmlns:a16="http://schemas.microsoft.com/office/drawing/2014/main" id="{6461209A-0CF7-4D52-A383-FCF6385CBEB6}"/>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46" name="TextBox 29">
          <a:extLst>
            <a:ext uri="{FF2B5EF4-FFF2-40B4-BE49-F238E27FC236}">
              <a16:creationId xmlns:a16="http://schemas.microsoft.com/office/drawing/2014/main" id="{3E8CB79B-FC05-44E0-B486-70B2A4D6B95C}"/>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47" name="TextBox 30">
          <a:extLst>
            <a:ext uri="{FF2B5EF4-FFF2-40B4-BE49-F238E27FC236}">
              <a16:creationId xmlns:a16="http://schemas.microsoft.com/office/drawing/2014/main" id="{1AC5E3A0-8E28-4FC1-B722-CF22914A3055}"/>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48" name="TextBox 31">
          <a:extLst>
            <a:ext uri="{FF2B5EF4-FFF2-40B4-BE49-F238E27FC236}">
              <a16:creationId xmlns:a16="http://schemas.microsoft.com/office/drawing/2014/main" id="{546D3427-ECDD-4C6E-BC1E-A50C5EB9B12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49" name="TextBox 32">
          <a:extLst>
            <a:ext uri="{FF2B5EF4-FFF2-40B4-BE49-F238E27FC236}">
              <a16:creationId xmlns:a16="http://schemas.microsoft.com/office/drawing/2014/main" id="{EA5AFE59-A021-40AB-97D3-C16DDD540CF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50" name="TextBox 33">
          <a:extLst>
            <a:ext uri="{FF2B5EF4-FFF2-40B4-BE49-F238E27FC236}">
              <a16:creationId xmlns:a16="http://schemas.microsoft.com/office/drawing/2014/main" id="{58DCDD3B-7FAA-431F-ACB0-415977159AC1}"/>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51" name="TextBox 34">
          <a:extLst>
            <a:ext uri="{FF2B5EF4-FFF2-40B4-BE49-F238E27FC236}">
              <a16:creationId xmlns:a16="http://schemas.microsoft.com/office/drawing/2014/main" id="{0FD7B759-FFD1-4884-8B5D-A049A40729D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52" name="TextBox 35">
          <a:extLst>
            <a:ext uri="{FF2B5EF4-FFF2-40B4-BE49-F238E27FC236}">
              <a16:creationId xmlns:a16="http://schemas.microsoft.com/office/drawing/2014/main" id="{19763A58-064B-4CFF-BB63-7390F9F642C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53" name="TextBox 36">
          <a:extLst>
            <a:ext uri="{FF2B5EF4-FFF2-40B4-BE49-F238E27FC236}">
              <a16:creationId xmlns:a16="http://schemas.microsoft.com/office/drawing/2014/main" id="{6EA7241E-343F-4201-B87E-739F33917BE3}"/>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54" name="TextBox 37">
          <a:extLst>
            <a:ext uri="{FF2B5EF4-FFF2-40B4-BE49-F238E27FC236}">
              <a16:creationId xmlns:a16="http://schemas.microsoft.com/office/drawing/2014/main" id="{0F3CC0B6-20A2-4901-BB23-30CB51AB74D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55" name="TextBox 38">
          <a:extLst>
            <a:ext uri="{FF2B5EF4-FFF2-40B4-BE49-F238E27FC236}">
              <a16:creationId xmlns:a16="http://schemas.microsoft.com/office/drawing/2014/main" id="{4F5C9E77-4E51-4378-9D3E-7D6B9CE41D2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56" name="TextBox 39">
          <a:extLst>
            <a:ext uri="{FF2B5EF4-FFF2-40B4-BE49-F238E27FC236}">
              <a16:creationId xmlns:a16="http://schemas.microsoft.com/office/drawing/2014/main" id="{F8FA7707-7057-4152-A622-1EE901A716C6}"/>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57" name="TextBox 40">
          <a:extLst>
            <a:ext uri="{FF2B5EF4-FFF2-40B4-BE49-F238E27FC236}">
              <a16:creationId xmlns:a16="http://schemas.microsoft.com/office/drawing/2014/main" id="{740BD5CB-00E1-480F-9057-BA635B2122F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58" name="TextBox 36">
          <a:extLst>
            <a:ext uri="{FF2B5EF4-FFF2-40B4-BE49-F238E27FC236}">
              <a16:creationId xmlns:a16="http://schemas.microsoft.com/office/drawing/2014/main" id="{A2EA094E-F702-479C-BBE4-82BE073A3DA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59" name="TextBox 37">
          <a:extLst>
            <a:ext uri="{FF2B5EF4-FFF2-40B4-BE49-F238E27FC236}">
              <a16:creationId xmlns:a16="http://schemas.microsoft.com/office/drawing/2014/main" id="{A8E71C5F-A071-4550-BF26-F92E9D341FE1}"/>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60" name="TextBox 38">
          <a:extLst>
            <a:ext uri="{FF2B5EF4-FFF2-40B4-BE49-F238E27FC236}">
              <a16:creationId xmlns:a16="http://schemas.microsoft.com/office/drawing/2014/main" id="{68993091-3EC8-41C3-B37A-7105AED4424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61" name="TextBox 39">
          <a:extLst>
            <a:ext uri="{FF2B5EF4-FFF2-40B4-BE49-F238E27FC236}">
              <a16:creationId xmlns:a16="http://schemas.microsoft.com/office/drawing/2014/main" id="{368AB740-B77D-4B44-B812-D104CF60E98C}"/>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62" name="TextBox 26">
          <a:extLst>
            <a:ext uri="{FF2B5EF4-FFF2-40B4-BE49-F238E27FC236}">
              <a16:creationId xmlns:a16="http://schemas.microsoft.com/office/drawing/2014/main" id="{107616A0-88F0-45E8-A478-B87A950B9A2C}"/>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63" name="TextBox 27">
          <a:extLst>
            <a:ext uri="{FF2B5EF4-FFF2-40B4-BE49-F238E27FC236}">
              <a16:creationId xmlns:a16="http://schemas.microsoft.com/office/drawing/2014/main" id="{0178C7AD-95C9-401C-BC28-C04981B6DAF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64" name="TextBox 28">
          <a:extLst>
            <a:ext uri="{FF2B5EF4-FFF2-40B4-BE49-F238E27FC236}">
              <a16:creationId xmlns:a16="http://schemas.microsoft.com/office/drawing/2014/main" id="{35BEEC3C-92EE-4ADB-9F88-B4BFD3F89E1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65" name="TextBox 29">
          <a:extLst>
            <a:ext uri="{FF2B5EF4-FFF2-40B4-BE49-F238E27FC236}">
              <a16:creationId xmlns:a16="http://schemas.microsoft.com/office/drawing/2014/main" id="{07FB3A86-DE1C-40BB-B98E-4230455DEE0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66" name="TextBox 30">
          <a:extLst>
            <a:ext uri="{FF2B5EF4-FFF2-40B4-BE49-F238E27FC236}">
              <a16:creationId xmlns:a16="http://schemas.microsoft.com/office/drawing/2014/main" id="{FCBBDA14-AD32-41CD-8CD3-84E8140CF215}"/>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67" name="TextBox 31">
          <a:extLst>
            <a:ext uri="{FF2B5EF4-FFF2-40B4-BE49-F238E27FC236}">
              <a16:creationId xmlns:a16="http://schemas.microsoft.com/office/drawing/2014/main" id="{F07C3208-4C20-4693-94B0-2C5CB5D3B44C}"/>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68" name="TextBox 32">
          <a:extLst>
            <a:ext uri="{FF2B5EF4-FFF2-40B4-BE49-F238E27FC236}">
              <a16:creationId xmlns:a16="http://schemas.microsoft.com/office/drawing/2014/main" id="{6B1DB4DB-4752-4963-AAC0-D1D494A92AD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69" name="TextBox 33">
          <a:extLst>
            <a:ext uri="{FF2B5EF4-FFF2-40B4-BE49-F238E27FC236}">
              <a16:creationId xmlns:a16="http://schemas.microsoft.com/office/drawing/2014/main" id="{F750A2B9-8AD3-4D8B-926F-CD450E9A8CA7}"/>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70" name="TextBox 34">
          <a:extLst>
            <a:ext uri="{FF2B5EF4-FFF2-40B4-BE49-F238E27FC236}">
              <a16:creationId xmlns:a16="http://schemas.microsoft.com/office/drawing/2014/main" id="{3DDA680A-E49F-4DDD-9379-0BD89398497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71" name="TextBox 35">
          <a:extLst>
            <a:ext uri="{FF2B5EF4-FFF2-40B4-BE49-F238E27FC236}">
              <a16:creationId xmlns:a16="http://schemas.microsoft.com/office/drawing/2014/main" id="{692598D6-8F2B-47C2-B3C7-F016870E4E63}"/>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72" name="TextBox 36">
          <a:extLst>
            <a:ext uri="{FF2B5EF4-FFF2-40B4-BE49-F238E27FC236}">
              <a16:creationId xmlns:a16="http://schemas.microsoft.com/office/drawing/2014/main" id="{13480B2A-8F8E-4F08-9890-15217AEB4DA3}"/>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73" name="TextBox 37">
          <a:extLst>
            <a:ext uri="{FF2B5EF4-FFF2-40B4-BE49-F238E27FC236}">
              <a16:creationId xmlns:a16="http://schemas.microsoft.com/office/drawing/2014/main" id="{BFE157A8-5D24-435D-A67C-E9809A3DE36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74" name="TextBox 38">
          <a:extLst>
            <a:ext uri="{FF2B5EF4-FFF2-40B4-BE49-F238E27FC236}">
              <a16:creationId xmlns:a16="http://schemas.microsoft.com/office/drawing/2014/main" id="{87B449F7-952B-41D1-9840-212EC3A93FA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75" name="TextBox 26">
          <a:extLst>
            <a:ext uri="{FF2B5EF4-FFF2-40B4-BE49-F238E27FC236}">
              <a16:creationId xmlns:a16="http://schemas.microsoft.com/office/drawing/2014/main" id="{E93E6CA5-2F4E-4B82-812E-DB0071E07E1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76" name="TextBox 27">
          <a:extLst>
            <a:ext uri="{FF2B5EF4-FFF2-40B4-BE49-F238E27FC236}">
              <a16:creationId xmlns:a16="http://schemas.microsoft.com/office/drawing/2014/main" id="{56BC14BC-5B7A-41EE-8349-159B8F01583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77" name="TextBox 28">
          <a:extLst>
            <a:ext uri="{FF2B5EF4-FFF2-40B4-BE49-F238E27FC236}">
              <a16:creationId xmlns:a16="http://schemas.microsoft.com/office/drawing/2014/main" id="{23406E14-7491-4FA4-AB8F-F95DB72B934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78" name="TextBox 29">
          <a:extLst>
            <a:ext uri="{FF2B5EF4-FFF2-40B4-BE49-F238E27FC236}">
              <a16:creationId xmlns:a16="http://schemas.microsoft.com/office/drawing/2014/main" id="{E5808A22-7818-433C-A601-BFB8E522539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79" name="TextBox 30">
          <a:extLst>
            <a:ext uri="{FF2B5EF4-FFF2-40B4-BE49-F238E27FC236}">
              <a16:creationId xmlns:a16="http://schemas.microsoft.com/office/drawing/2014/main" id="{794C6F9B-20C2-4105-A2B2-D385179656D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80" name="TextBox 31">
          <a:extLst>
            <a:ext uri="{FF2B5EF4-FFF2-40B4-BE49-F238E27FC236}">
              <a16:creationId xmlns:a16="http://schemas.microsoft.com/office/drawing/2014/main" id="{A6692E0D-ECCD-45E5-AF77-1A66C7411D7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81" name="TextBox 32">
          <a:extLst>
            <a:ext uri="{FF2B5EF4-FFF2-40B4-BE49-F238E27FC236}">
              <a16:creationId xmlns:a16="http://schemas.microsoft.com/office/drawing/2014/main" id="{1A20BDF5-4F3F-4D9B-B5BB-B8DF8E887131}"/>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82" name="TextBox 33">
          <a:extLst>
            <a:ext uri="{FF2B5EF4-FFF2-40B4-BE49-F238E27FC236}">
              <a16:creationId xmlns:a16="http://schemas.microsoft.com/office/drawing/2014/main" id="{78B0C2E9-65BB-4710-B8F0-B00771018A0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83" name="TextBox 34">
          <a:extLst>
            <a:ext uri="{FF2B5EF4-FFF2-40B4-BE49-F238E27FC236}">
              <a16:creationId xmlns:a16="http://schemas.microsoft.com/office/drawing/2014/main" id="{6EBA1C98-3661-4270-A452-B0B4E5F26C0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84" name="TextBox 35">
          <a:extLst>
            <a:ext uri="{FF2B5EF4-FFF2-40B4-BE49-F238E27FC236}">
              <a16:creationId xmlns:a16="http://schemas.microsoft.com/office/drawing/2014/main" id="{08727D28-DC00-4EAD-B490-3CA0AA5C85F7}"/>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85" name="TextBox 36">
          <a:extLst>
            <a:ext uri="{FF2B5EF4-FFF2-40B4-BE49-F238E27FC236}">
              <a16:creationId xmlns:a16="http://schemas.microsoft.com/office/drawing/2014/main" id="{32806D45-4464-4874-A37D-65217AC21383}"/>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86" name="TextBox 37">
          <a:extLst>
            <a:ext uri="{FF2B5EF4-FFF2-40B4-BE49-F238E27FC236}">
              <a16:creationId xmlns:a16="http://schemas.microsoft.com/office/drawing/2014/main" id="{8E0A9683-ADF9-4B2C-B02D-D6D2C28BB147}"/>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87" name="TextBox 38">
          <a:extLst>
            <a:ext uri="{FF2B5EF4-FFF2-40B4-BE49-F238E27FC236}">
              <a16:creationId xmlns:a16="http://schemas.microsoft.com/office/drawing/2014/main" id="{ECDFCC7A-046E-4BE0-8691-67D29A9889AB}"/>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88" name="TextBox 39">
          <a:extLst>
            <a:ext uri="{FF2B5EF4-FFF2-40B4-BE49-F238E27FC236}">
              <a16:creationId xmlns:a16="http://schemas.microsoft.com/office/drawing/2014/main" id="{9E2E6460-D680-4246-A212-CB995CE1C2C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89" name="TextBox 40">
          <a:extLst>
            <a:ext uri="{FF2B5EF4-FFF2-40B4-BE49-F238E27FC236}">
              <a16:creationId xmlns:a16="http://schemas.microsoft.com/office/drawing/2014/main" id="{38120FE4-C5A3-4EDA-A163-E5FC054BD47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90" name="TextBox 41">
          <a:extLst>
            <a:ext uri="{FF2B5EF4-FFF2-40B4-BE49-F238E27FC236}">
              <a16:creationId xmlns:a16="http://schemas.microsoft.com/office/drawing/2014/main" id="{6E148799-CCE2-4D8A-823F-FAAEF7A85F86}"/>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91" name="TextBox 7">
          <a:extLst>
            <a:ext uri="{FF2B5EF4-FFF2-40B4-BE49-F238E27FC236}">
              <a16:creationId xmlns:a16="http://schemas.microsoft.com/office/drawing/2014/main" id="{F0794B39-ECD3-4F37-8E74-43965E37EE7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92" name="TextBox 26">
          <a:extLst>
            <a:ext uri="{FF2B5EF4-FFF2-40B4-BE49-F238E27FC236}">
              <a16:creationId xmlns:a16="http://schemas.microsoft.com/office/drawing/2014/main" id="{5910A15B-10CC-4EA0-8EFF-0D1509538B41}"/>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93" name="TextBox 27">
          <a:extLst>
            <a:ext uri="{FF2B5EF4-FFF2-40B4-BE49-F238E27FC236}">
              <a16:creationId xmlns:a16="http://schemas.microsoft.com/office/drawing/2014/main" id="{469B04CB-955A-4244-87A8-FF800AF8895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94" name="TextBox 28">
          <a:extLst>
            <a:ext uri="{FF2B5EF4-FFF2-40B4-BE49-F238E27FC236}">
              <a16:creationId xmlns:a16="http://schemas.microsoft.com/office/drawing/2014/main" id="{4DDB141C-FE83-4768-A899-F970A8557119}"/>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95" name="TextBox 29">
          <a:extLst>
            <a:ext uri="{FF2B5EF4-FFF2-40B4-BE49-F238E27FC236}">
              <a16:creationId xmlns:a16="http://schemas.microsoft.com/office/drawing/2014/main" id="{3CB18528-9FE8-454B-8C0E-AC693A021C7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96" name="TextBox 30">
          <a:extLst>
            <a:ext uri="{FF2B5EF4-FFF2-40B4-BE49-F238E27FC236}">
              <a16:creationId xmlns:a16="http://schemas.microsoft.com/office/drawing/2014/main" id="{A35DD8B5-05D6-4885-B37D-94B3FE84ACD5}"/>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97" name="TextBox 31">
          <a:extLst>
            <a:ext uri="{FF2B5EF4-FFF2-40B4-BE49-F238E27FC236}">
              <a16:creationId xmlns:a16="http://schemas.microsoft.com/office/drawing/2014/main" id="{9E0230D2-18D2-4B15-9DDD-FF85AFBDAF6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98" name="TextBox 32">
          <a:extLst>
            <a:ext uri="{FF2B5EF4-FFF2-40B4-BE49-F238E27FC236}">
              <a16:creationId xmlns:a16="http://schemas.microsoft.com/office/drawing/2014/main" id="{D8A2DAEF-491E-4C4A-AA50-3018967FB749}"/>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199" name="TextBox 33">
          <a:extLst>
            <a:ext uri="{FF2B5EF4-FFF2-40B4-BE49-F238E27FC236}">
              <a16:creationId xmlns:a16="http://schemas.microsoft.com/office/drawing/2014/main" id="{654BB371-543F-4A5F-8C0B-1C8F4F4554A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00" name="TextBox 34">
          <a:extLst>
            <a:ext uri="{FF2B5EF4-FFF2-40B4-BE49-F238E27FC236}">
              <a16:creationId xmlns:a16="http://schemas.microsoft.com/office/drawing/2014/main" id="{25D931DB-7B32-4A1B-ABF1-CF599A99A423}"/>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01" name="TextBox 35">
          <a:extLst>
            <a:ext uri="{FF2B5EF4-FFF2-40B4-BE49-F238E27FC236}">
              <a16:creationId xmlns:a16="http://schemas.microsoft.com/office/drawing/2014/main" id="{3879EFFF-5555-4426-85FA-642CA4042CF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02" name="TextBox 36">
          <a:extLst>
            <a:ext uri="{FF2B5EF4-FFF2-40B4-BE49-F238E27FC236}">
              <a16:creationId xmlns:a16="http://schemas.microsoft.com/office/drawing/2014/main" id="{D9C8D0AB-BAA2-4ED7-99C8-E875C53C5865}"/>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03" name="TextBox 37">
          <a:extLst>
            <a:ext uri="{FF2B5EF4-FFF2-40B4-BE49-F238E27FC236}">
              <a16:creationId xmlns:a16="http://schemas.microsoft.com/office/drawing/2014/main" id="{10B13527-0C28-4593-A226-7A40FB8573B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04" name="TextBox 38">
          <a:extLst>
            <a:ext uri="{FF2B5EF4-FFF2-40B4-BE49-F238E27FC236}">
              <a16:creationId xmlns:a16="http://schemas.microsoft.com/office/drawing/2014/main" id="{9796D037-5339-4856-B267-15DDEDDCF32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05" name="TextBox 39">
          <a:extLst>
            <a:ext uri="{FF2B5EF4-FFF2-40B4-BE49-F238E27FC236}">
              <a16:creationId xmlns:a16="http://schemas.microsoft.com/office/drawing/2014/main" id="{A78FF328-FA7F-437B-BD67-BC9B10AAC236}"/>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06" name="TextBox 40">
          <a:extLst>
            <a:ext uri="{FF2B5EF4-FFF2-40B4-BE49-F238E27FC236}">
              <a16:creationId xmlns:a16="http://schemas.microsoft.com/office/drawing/2014/main" id="{6D2BAD86-3160-4CD7-A201-26E42D62492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07" name="TextBox 41">
          <a:extLst>
            <a:ext uri="{FF2B5EF4-FFF2-40B4-BE49-F238E27FC236}">
              <a16:creationId xmlns:a16="http://schemas.microsoft.com/office/drawing/2014/main" id="{78FBDDF1-AC9D-4FDA-BBBE-047ADAE46DD7}"/>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08" name="TextBox 26">
          <a:extLst>
            <a:ext uri="{FF2B5EF4-FFF2-40B4-BE49-F238E27FC236}">
              <a16:creationId xmlns:a16="http://schemas.microsoft.com/office/drawing/2014/main" id="{437AA6F7-C5D6-4C7D-A65D-0395C131BF6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09" name="TextBox 27">
          <a:extLst>
            <a:ext uri="{FF2B5EF4-FFF2-40B4-BE49-F238E27FC236}">
              <a16:creationId xmlns:a16="http://schemas.microsoft.com/office/drawing/2014/main" id="{437E6031-DE73-4D27-A11B-A7CCD26B6D3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10" name="TextBox 28">
          <a:extLst>
            <a:ext uri="{FF2B5EF4-FFF2-40B4-BE49-F238E27FC236}">
              <a16:creationId xmlns:a16="http://schemas.microsoft.com/office/drawing/2014/main" id="{400190CC-C554-4F4F-A58A-BE14C9D4243C}"/>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11" name="TextBox 29">
          <a:extLst>
            <a:ext uri="{FF2B5EF4-FFF2-40B4-BE49-F238E27FC236}">
              <a16:creationId xmlns:a16="http://schemas.microsoft.com/office/drawing/2014/main" id="{0E3FCB0E-639D-475A-BFAE-3695BD08DF89}"/>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12" name="TextBox 30">
          <a:extLst>
            <a:ext uri="{FF2B5EF4-FFF2-40B4-BE49-F238E27FC236}">
              <a16:creationId xmlns:a16="http://schemas.microsoft.com/office/drawing/2014/main" id="{4943A278-0B0B-4C3D-9721-2D5AE025DCB5}"/>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13" name="TextBox 31">
          <a:extLst>
            <a:ext uri="{FF2B5EF4-FFF2-40B4-BE49-F238E27FC236}">
              <a16:creationId xmlns:a16="http://schemas.microsoft.com/office/drawing/2014/main" id="{CEAADF7D-569B-4EA2-8BD7-D0C2AE094F53}"/>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14" name="TextBox 32">
          <a:extLst>
            <a:ext uri="{FF2B5EF4-FFF2-40B4-BE49-F238E27FC236}">
              <a16:creationId xmlns:a16="http://schemas.microsoft.com/office/drawing/2014/main" id="{2BBDA6AD-E2A5-4295-B346-88FE8955C29B}"/>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15" name="TextBox 33">
          <a:extLst>
            <a:ext uri="{FF2B5EF4-FFF2-40B4-BE49-F238E27FC236}">
              <a16:creationId xmlns:a16="http://schemas.microsoft.com/office/drawing/2014/main" id="{CE7BE958-EB96-4D80-A06C-B8A1672C3F8C}"/>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16" name="TextBox 34">
          <a:extLst>
            <a:ext uri="{FF2B5EF4-FFF2-40B4-BE49-F238E27FC236}">
              <a16:creationId xmlns:a16="http://schemas.microsoft.com/office/drawing/2014/main" id="{65A7FA98-F92F-47E7-8B07-AB1874F0C3D9}"/>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17" name="TextBox 35">
          <a:extLst>
            <a:ext uri="{FF2B5EF4-FFF2-40B4-BE49-F238E27FC236}">
              <a16:creationId xmlns:a16="http://schemas.microsoft.com/office/drawing/2014/main" id="{040A201F-A62F-4B2E-8DB6-6B4CEACE1DE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18" name="TextBox 36">
          <a:extLst>
            <a:ext uri="{FF2B5EF4-FFF2-40B4-BE49-F238E27FC236}">
              <a16:creationId xmlns:a16="http://schemas.microsoft.com/office/drawing/2014/main" id="{8AE7FC95-2887-4783-B42C-825E55DEECC1}"/>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19" name="TextBox 37">
          <a:extLst>
            <a:ext uri="{FF2B5EF4-FFF2-40B4-BE49-F238E27FC236}">
              <a16:creationId xmlns:a16="http://schemas.microsoft.com/office/drawing/2014/main" id="{9F11F937-ED07-4BE7-9356-64D5A0C19B1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20" name="TextBox 38">
          <a:extLst>
            <a:ext uri="{FF2B5EF4-FFF2-40B4-BE49-F238E27FC236}">
              <a16:creationId xmlns:a16="http://schemas.microsoft.com/office/drawing/2014/main" id="{200E4E17-A58C-4BC7-B5B6-C0F499240DA3}"/>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21" name="TextBox 39">
          <a:extLst>
            <a:ext uri="{FF2B5EF4-FFF2-40B4-BE49-F238E27FC236}">
              <a16:creationId xmlns:a16="http://schemas.microsoft.com/office/drawing/2014/main" id="{1F0C0FCF-9D95-4E72-97B2-A7DAD5FE8FC3}"/>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22" name="TextBox 40">
          <a:extLst>
            <a:ext uri="{FF2B5EF4-FFF2-40B4-BE49-F238E27FC236}">
              <a16:creationId xmlns:a16="http://schemas.microsoft.com/office/drawing/2014/main" id="{37BF1118-7346-4605-91A7-BF31440C600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23" name="TextBox 36">
          <a:extLst>
            <a:ext uri="{FF2B5EF4-FFF2-40B4-BE49-F238E27FC236}">
              <a16:creationId xmlns:a16="http://schemas.microsoft.com/office/drawing/2014/main" id="{593BDBA0-0F07-4E04-802B-A73CD551E25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24" name="TextBox 37">
          <a:extLst>
            <a:ext uri="{FF2B5EF4-FFF2-40B4-BE49-F238E27FC236}">
              <a16:creationId xmlns:a16="http://schemas.microsoft.com/office/drawing/2014/main" id="{21E4FA71-28A2-43FB-B004-F154AB639C5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25" name="TextBox 38">
          <a:extLst>
            <a:ext uri="{FF2B5EF4-FFF2-40B4-BE49-F238E27FC236}">
              <a16:creationId xmlns:a16="http://schemas.microsoft.com/office/drawing/2014/main" id="{32E6D27F-F90C-4AC7-B1AC-F435B6ABBE4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26" name="TextBox 39">
          <a:extLst>
            <a:ext uri="{FF2B5EF4-FFF2-40B4-BE49-F238E27FC236}">
              <a16:creationId xmlns:a16="http://schemas.microsoft.com/office/drawing/2014/main" id="{01FF50A1-5771-4BDE-BA59-1A60CD155DF1}"/>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27" name="TextBox 26">
          <a:extLst>
            <a:ext uri="{FF2B5EF4-FFF2-40B4-BE49-F238E27FC236}">
              <a16:creationId xmlns:a16="http://schemas.microsoft.com/office/drawing/2014/main" id="{780A013C-8F91-45C7-BBED-0EDAB4819556}"/>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28" name="TextBox 27">
          <a:extLst>
            <a:ext uri="{FF2B5EF4-FFF2-40B4-BE49-F238E27FC236}">
              <a16:creationId xmlns:a16="http://schemas.microsoft.com/office/drawing/2014/main" id="{A8D4A1CF-770D-4D99-A9A5-EC30A2793D9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29" name="TextBox 28">
          <a:extLst>
            <a:ext uri="{FF2B5EF4-FFF2-40B4-BE49-F238E27FC236}">
              <a16:creationId xmlns:a16="http://schemas.microsoft.com/office/drawing/2014/main" id="{416A44BD-8D97-4160-AEF5-73469BBAA28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30" name="TextBox 29">
          <a:extLst>
            <a:ext uri="{FF2B5EF4-FFF2-40B4-BE49-F238E27FC236}">
              <a16:creationId xmlns:a16="http://schemas.microsoft.com/office/drawing/2014/main" id="{4F71E114-1E37-412D-A65E-ADEDCBC6737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31" name="TextBox 30">
          <a:extLst>
            <a:ext uri="{FF2B5EF4-FFF2-40B4-BE49-F238E27FC236}">
              <a16:creationId xmlns:a16="http://schemas.microsoft.com/office/drawing/2014/main" id="{7F29F4BC-A3F3-43F2-917F-B03ED8A4A5D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32" name="TextBox 31">
          <a:extLst>
            <a:ext uri="{FF2B5EF4-FFF2-40B4-BE49-F238E27FC236}">
              <a16:creationId xmlns:a16="http://schemas.microsoft.com/office/drawing/2014/main" id="{ABB1F5D4-C1CE-42EC-B477-DE6E74F0881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33" name="TextBox 32">
          <a:extLst>
            <a:ext uri="{FF2B5EF4-FFF2-40B4-BE49-F238E27FC236}">
              <a16:creationId xmlns:a16="http://schemas.microsoft.com/office/drawing/2014/main" id="{F7491C59-E252-4771-9245-62E91AE19BC7}"/>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34" name="TextBox 33">
          <a:extLst>
            <a:ext uri="{FF2B5EF4-FFF2-40B4-BE49-F238E27FC236}">
              <a16:creationId xmlns:a16="http://schemas.microsoft.com/office/drawing/2014/main" id="{312A5632-C9F4-4C64-A14C-1C92C16470C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35" name="TextBox 34">
          <a:extLst>
            <a:ext uri="{FF2B5EF4-FFF2-40B4-BE49-F238E27FC236}">
              <a16:creationId xmlns:a16="http://schemas.microsoft.com/office/drawing/2014/main" id="{DB4FF1D4-A7FB-4DFB-8A42-3A6049FD570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36" name="TextBox 35">
          <a:extLst>
            <a:ext uri="{FF2B5EF4-FFF2-40B4-BE49-F238E27FC236}">
              <a16:creationId xmlns:a16="http://schemas.microsoft.com/office/drawing/2014/main" id="{C022EFF2-71EA-4B19-BF77-9B98EE96CA65}"/>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37" name="TextBox 36">
          <a:extLst>
            <a:ext uri="{FF2B5EF4-FFF2-40B4-BE49-F238E27FC236}">
              <a16:creationId xmlns:a16="http://schemas.microsoft.com/office/drawing/2014/main" id="{255117B4-8213-4B89-86A3-3420E28FC3A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38" name="TextBox 37">
          <a:extLst>
            <a:ext uri="{FF2B5EF4-FFF2-40B4-BE49-F238E27FC236}">
              <a16:creationId xmlns:a16="http://schemas.microsoft.com/office/drawing/2014/main" id="{DA9DDCE7-056E-4E22-A006-D73B9685A59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39" name="TextBox 38">
          <a:extLst>
            <a:ext uri="{FF2B5EF4-FFF2-40B4-BE49-F238E27FC236}">
              <a16:creationId xmlns:a16="http://schemas.microsoft.com/office/drawing/2014/main" id="{0370A6CF-A6A2-4F17-B57A-D664C871265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40" name="TextBox 26">
          <a:extLst>
            <a:ext uri="{FF2B5EF4-FFF2-40B4-BE49-F238E27FC236}">
              <a16:creationId xmlns:a16="http://schemas.microsoft.com/office/drawing/2014/main" id="{AFE21011-4715-4BE6-86B7-ABE0E319816C}"/>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41" name="TextBox 27">
          <a:extLst>
            <a:ext uri="{FF2B5EF4-FFF2-40B4-BE49-F238E27FC236}">
              <a16:creationId xmlns:a16="http://schemas.microsoft.com/office/drawing/2014/main" id="{4BE6D467-2BC2-4594-B9D8-6D375D20DD4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42" name="TextBox 28">
          <a:extLst>
            <a:ext uri="{FF2B5EF4-FFF2-40B4-BE49-F238E27FC236}">
              <a16:creationId xmlns:a16="http://schemas.microsoft.com/office/drawing/2014/main" id="{1F9673B9-BD06-43CB-B29B-13E50B41F50B}"/>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43" name="TextBox 29">
          <a:extLst>
            <a:ext uri="{FF2B5EF4-FFF2-40B4-BE49-F238E27FC236}">
              <a16:creationId xmlns:a16="http://schemas.microsoft.com/office/drawing/2014/main" id="{831D341B-4678-45EA-9C14-B6722651355F}"/>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44" name="TextBox 30">
          <a:extLst>
            <a:ext uri="{FF2B5EF4-FFF2-40B4-BE49-F238E27FC236}">
              <a16:creationId xmlns:a16="http://schemas.microsoft.com/office/drawing/2014/main" id="{A1886FDD-F23F-4D23-AEA0-6EC2D58C24F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45" name="TextBox 31">
          <a:extLst>
            <a:ext uri="{FF2B5EF4-FFF2-40B4-BE49-F238E27FC236}">
              <a16:creationId xmlns:a16="http://schemas.microsoft.com/office/drawing/2014/main" id="{A4C9DC3C-CA1E-49D7-B6BC-133CFDD7006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46" name="TextBox 32">
          <a:extLst>
            <a:ext uri="{FF2B5EF4-FFF2-40B4-BE49-F238E27FC236}">
              <a16:creationId xmlns:a16="http://schemas.microsoft.com/office/drawing/2014/main" id="{6E341C6F-8D33-46F5-9BE1-7B40E6639BA3}"/>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47" name="TextBox 33">
          <a:extLst>
            <a:ext uri="{FF2B5EF4-FFF2-40B4-BE49-F238E27FC236}">
              <a16:creationId xmlns:a16="http://schemas.microsoft.com/office/drawing/2014/main" id="{8E9B89DA-F7B4-45CD-9EF7-BED1B16B72F9}"/>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48" name="TextBox 34">
          <a:extLst>
            <a:ext uri="{FF2B5EF4-FFF2-40B4-BE49-F238E27FC236}">
              <a16:creationId xmlns:a16="http://schemas.microsoft.com/office/drawing/2014/main" id="{E13D529A-4D65-44F6-A9DB-B2E7E825C813}"/>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49" name="TextBox 35">
          <a:extLst>
            <a:ext uri="{FF2B5EF4-FFF2-40B4-BE49-F238E27FC236}">
              <a16:creationId xmlns:a16="http://schemas.microsoft.com/office/drawing/2014/main" id="{4340CC41-1827-4FF3-A4A0-2E435267622B}"/>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50" name="TextBox 36">
          <a:extLst>
            <a:ext uri="{FF2B5EF4-FFF2-40B4-BE49-F238E27FC236}">
              <a16:creationId xmlns:a16="http://schemas.microsoft.com/office/drawing/2014/main" id="{0EEDF091-BFFF-4BAA-B279-83D43DAB27D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51" name="TextBox 37">
          <a:extLst>
            <a:ext uri="{FF2B5EF4-FFF2-40B4-BE49-F238E27FC236}">
              <a16:creationId xmlns:a16="http://schemas.microsoft.com/office/drawing/2014/main" id="{F420B255-714C-481B-BE79-1E664374ABA8}"/>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52" name="TextBox 36">
          <a:extLst>
            <a:ext uri="{FF2B5EF4-FFF2-40B4-BE49-F238E27FC236}">
              <a16:creationId xmlns:a16="http://schemas.microsoft.com/office/drawing/2014/main" id="{776318AE-26F7-4420-813B-AB30A591CACB}"/>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53" name="TextBox 37">
          <a:extLst>
            <a:ext uri="{FF2B5EF4-FFF2-40B4-BE49-F238E27FC236}">
              <a16:creationId xmlns:a16="http://schemas.microsoft.com/office/drawing/2014/main" id="{C487FC75-7647-4077-99F4-E22FF4DD632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54" name="TextBox 38">
          <a:extLst>
            <a:ext uri="{FF2B5EF4-FFF2-40B4-BE49-F238E27FC236}">
              <a16:creationId xmlns:a16="http://schemas.microsoft.com/office/drawing/2014/main" id="{6B2DCF5F-4913-4808-A925-57B455A9FF8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55" name="TextBox 39">
          <a:extLst>
            <a:ext uri="{FF2B5EF4-FFF2-40B4-BE49-F238E27FC236}">
              <a16:creationId xmlns:a16="http://schemas.microsoft.com/office/drawing/2014/main" id="{06330F56-8457-4C39-B64B-82989D61B46B}"/>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56" name="TextBox 26">
          <a:extLst>
            <a:ext uri="{FF2B5EF4-FFF2-40B4-BE49-F238E27FC236}">
              <a16:creationId xmlns:a16="http://schemas.microsoft.com/office/drawing/2014/main" id="{B77FFF20-3F19-45B5-84C8-65672047EF11}"/>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57" name="TextBox 27">
          <a:extLst>
            <a:ext uri="{FF2B5EF4-FFF2-40B4-BE49-F238E27FC236}">
              <a16:creationId xmlns:a16="http://schemas.microsoft.com/office/drawing/2014/main" id="{2AE4FB56-FDC1-4BA3-B0BF-1D7F1461EF8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58" name="TextBox 28">
          <a:extLst>
            <a:ext uri="{FF2B5EF4-FFF2-40B4-BE49-F238E27FC236}">
              <a16:creationId xmlns:a16="http://schemas.microsoft.com/office/drawing/2014/main" id="{0F566189-22BD-496A-9E6F-6AD728EB2DF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59" name="TextBox 29">
          <a:extLst>
            <a:ext uri="{FF2B5EF4-FFF2-40B4-BE49-F238E27FC236}">
              <a16:creationId xmlns:a16="http://schemas.microsoft.com/office/drawing/2014/main" id="{702DDA34-75AB-4814-AB9E-F90E030148D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60" name="TextBox 30">
          <a:extLst>
            <a:ext uri="{FF2B5EF4-FFF2-40B4-BE49-F238E27FC236}">
              <a16:creationId xmlns:a16="http://schemas.microsoft.com/office/drawing/2014/main" id="{5FC6A6E2-B805-4A9F-8B9E-6D63AAC7A433}"/>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61" name="TextBox 31">
          <a:extLst>
            <a:ext uri="{FF2B5EF4-FFF2-40B4-BE49-F238E27FC236}">
              <a16:creationId xmlns:a16="http://schemas.microsoft.com/office/drawing/2014/main" id="{115619D5-5050-47E9-A1B0-BB5F35F557A1}"/>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62" name="TextBox 32">
          <a:extLst>
            <a:ext uri="{FF2B5EF4-FFF2-40B4-BE49-F238E27FC236}">
              <a16:creationId xmlns:a16="http://schemas.microsoft.com/office/drawing/2014/main" id="{C5377460-1A57-4406-9808-C2C256043F1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63" name="TextBox 33">
          <a:extLst>
            <a:ext uri="{FF2B5EF4-FFF2-40B4-BE49-F238E27FC236}">
              <a16:creationId xmlns:a16="http://schemas.microsoft.com/office/drawing/2014/main" id="{2459F234-0C56-4DA2-97AB-51CF3B10BE5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64" name="TextBox 34">
          <a:extLst>
            <a:ext uri="{FF2B5EF4-FFF2-40B4-BE49-F238E27FC236}">
              <a16:creationId xmlns:a16="http://schemas.microsoft.com/office/drawing/2014/main" id="{2ED46E32-B19F-4477-A7D0-534C9F670DD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65" name="TextBox 35">
          <a:extLst>
            <a:ext uri="{FF2B5EF4-FFF2-40B4-BE49-F238E27FC236}">
              <a16:creationId xmlns:a16="http://schemas.microsoft.com/office/drawing/2014/main" id="{1C8DFBC7-4C42-4584-9582-247FDBC3FE6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66" name="TextBox 36">
          <a:extLst>
            <a:ext uri="{FF2B5EF4-FFF2-40B4-BE49-F238E27FC236}">
              <a16:creationId xmlns:a16="http://schemas.microsoft.com/office/drawing/2014/main" id="{90FB4F02-F38B-4FF5-A28B-BE0FE0C01074}"/>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67" name="TextBox 37">
          <a:extLst>
            <a:ext uri="{FF2B5EF4-FFF2-40B4-BE49-F238E27FC236}">
              <a16:creationId xmlns:a16="http://schemas.microsoft.com/office/drawing/2014/main" id="{C0BE628D-7263-4C57-92F2-B0E85DD7F08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68" name="TextBox 38">
          <a:extLst>
            <a:ext uri="{FF2B5EF4-FFF2-40B4-BE49-F238E27FC236}">
              <a16:creationId xmlns:a16="http://schemas.microsoft.com/office/drawing/2014/main" id="{28E97B0F-099B-4D6F-8E5F-1EC30FB558AA}"/>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69" name="TextBox 7">
          <a:extLst>
            <a:ext uri="{FF2B5EF4-FFF2-40B4-BE49-F238E27FC236}">
              <a16:creationId xmlns:a16="http://schemas.microsoft.com/office/drawing/2014/main" id="{C2ED11F0-F573-40E1-A222-0E35A57A3391}"/>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70" name="TextBox 26">
          <a:extLst>
            <a:ext uri="{FF2B5EF4-FFF2-40B4-BE49-F238E27FC236}">
              <a16:creationId xmlns:a16="http://schemas.microsoft.com/office/drawing/2014/main" id="{9ADA9D07-45E7-4AEF-BE49-3C0B5C036CC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71" name="TextBox 27">
          <a:extLst>
            <a:ext uri="{FF2B5EF4-FFF2-40B4-BE49-F238E27FC236}">
              <a16:creationId xmlns:a16="http://schemas.microsoft.com/office/drawing/2014/main" id="{D5343F76-B6CF-401F-BD7E-0CDB697AB141}"/>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72" name="TextBox 28">
          <a:extLst>
            <a:ext uri="{FF2B5EF4-FFF2-40B4-BE49-F238E27FC236}">
              <a16:creationId xmlns:a16="http://schemas.microsoft.com/office/drawing/2014/main" id="{5253FA1E-5246-477A-90B6-8F1F28F2486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73" name="TextBox 29">
          <a:extLst>
            <a:ext uri="{FF2B5EF4-FFF2-40B4-BE49-F238E27FC236}">
              <a16:creationId xmlns:a16="http://schemas.microsoft.com/office/drawing/2014/main" id="{9A8F22C2-99A1-4973-9B54-AE223E509076}"/>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74" name="TextBox 30">
          <a:extLst>
            <a:ext uri="{FF2B5EF4-FFF2-40B4-BE49-F238E27FC236}">
              <a16:creationId xmlns:a16="http://schemas.microsoft.com/office/drawing/2014/main" id="{C299C8D0-20D4-4F6B-B075-1D1119C2921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75" name="TextBox 31">
          <a:extLst>
            <a:ext uri="{FF2B5EF4-FFF2-40B4-BE49-F238E27FC236}">
              <a16:creationId xmlns:a16="http://schemas.microsoft.com/office/drawing/2014/main" id="{85BAED86-F02D-4E7D-9957-D95B94B25EE6}"/>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76" name="TextBox 32">
          <a:extLst>
            <a:ext uri="{FF2B5EF4-FFF2-40B4-BE49-F238E27FC236}">
              <a16:creationId xmlns:a16="http://schemas.microsoft.com/office/drawing/2014/main" id="{88306288-CE2F-44E3-A6E9-538BD1C2A5D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77" name="TextBox 33">
          <a:extLst>
            <a:ext uri="{FF2B5EF4-FFF2-40B4-BE49-F238E27FC236}">
              <a16:creationId xmlns:a16="http://schemas.microsoft.com/office/drawing/2014/main" id="{F7926D3E-70FD-413B-AF49-4EC9898614A6}"/>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78" name="TextBox 34">
          <a:extLst>
            <a:ext uri="{FF2B5EF4-FFF2-40B4-BE49-F238E27FC236}">
              <a16:creationId xmlns:a16="http://schemas.microsoft.com/office/drawing/2014/main" id="{87CD4FC2-F301-4B03-9BBE-4EC77F220552}"/>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79" name="TextBox 35">
          <a:extLst>
            <a:ext uri="{FF2B5EF4-FFF2-40B4-BE49-F238E27FC236}">
              <a16:creationId xmlns:a16="http://schemas.microsoft.com/office/drawing/2014/main" id="{46F9DD5A-31D5-45BA-8731-B7436BF87901}"/>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80" name="TextBox 36">
          <a:extLst>
            <a:ext uri="{FF2B5EF4-FFF2-40B4-BE49-F238E27FC236}">
              <a16:creationId xmlns:a16="http://schemas.microsoft.com/office/drawing/2014/main" id="{13DCF4A5-931D-4F59-B527-C557A6611A6E}"/>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81" name="TextBox 37">
          <a:extLst>
            <a:ext uri="{FF2B5EF4-FFF2-40B4-BE49-F238E27FC236}">
              <a16:creationId xmlns:a16="http://schemas.microsoft.com/office/drawing/2014/main" id="{A4FDC9AF-93C7-40A5-ADE8-F3B5867DC1A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82" name="TextBox 38">
          <a:extLst>
            <a:ext uri="{FF2B5EF4-FFF2-40B4-BE49-F238E27FC236}">
              <a16:creationId xmlns:a16="http://schemas.microsoft.com/office/drawing/2014/main" id="{6664C307-A948-4A44-A8DA-7947F5BC9177}"/>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83" name="TextBox 39">
          <a:extLst>
            <a:ext uri="{FF2B5EF4-FFF2-40B4-BE49-F238E27FC236}">
              <a16:creationId xmlns:a16="http://schemas.microsoft.com/office/drawing/2014/main" id="{96C6D69B-FC40-415E-A957-9105D563894D}"/>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oneCellAnchor>
    <xdr:from>
      <xdr:col>6</xdr:col>
      <xdr:colOff>0</xdr:colOff>
      <xdr:row>77</xdr:row>
      <xdr:rowOff>0</xdr:rowOff>
    </xdr:from>
    <xdr:ext cx="184731" cy="262572"/>
    <xdr:sp macro="" textlink="">
      <xdr:nvSpPr>
        <xdr:cNvPr id="284" name="TextBox 40">
          <a:extLst>
            <a:ext uri="{FF2B5EF4-FFF2-40B4-BE49-F238E27FC236}">
              <a16:creationId xmlns:a16="http://schemas.microsoft.com/office/drawing/2014/main" id="{1B467E7E-7FFA-4D44-B8C7-2196D659A7D0}"/>
            </a:ext>
          </a:extLst>
        </xdr:cNvPr>
        <xdr:cNvSpPr txBox="1"/>
      </xdr:nvSpPr>
      <xdr:spPr>
        <a:xfrm>
          <a:off x="7543800" y="8519160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h-TH" sz="1100"/>
        </a:p>
      </xdr:txBody>
    </xdr:sp>
    <xdr:clientData/>
  </xdr:oneCellAnchor>
</xdr:wsDr>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erp.mju.ac.th/openFile.aspx?id=Nzc3MTM3&amp;method=inline" TargetMode="External"/><Relationship Id="rId13" Type="http://schemas.openxmlformats.org/officeDocument/2006/relationships/hyperlink" Target="https://erp.mju.ac.th/openFile.aspx?id=NzgwMzkx&amp;method=inline" TargetMode="External"/><Relationship Id="rId18" Type="http://schemas.openxmlformats.org/officeDocument/2006/relationships/hyperlink" Target="https://erp.mju.ac.th/openFile.aspx?id=NzgxMzgz&amp;method=inline" TargetMode="External"/><Relationship Id="rId26" Type="http://schemas.openxmlformats.org/officeDocument/2006/relationships/drawing" Target="../drawings/drawing1.xml"/><Relationship Id="rId3" Type="http://schemas.openxmlformats.org/officeDocument/2006/relationships/hyperlink" Target="https://erp.mju.ac.th/openFile.aspx?id=Nzc3MTMw&amp;method=inline" TargetMode="External"/><Relationship Id="rId21" Type="http://schemas.openxmlformats.org/officeDocument/2006/relationships/hyperlink" Target="https://erp.mju.ac.th/openFile.aspx?id=NzgxMzg3&amp;method=inline" TargetMode="External"/><Relationship Id="rId7" Type="http://schemas.openxmlformats.org/officeDocument/2006/relationships/hyperlink" Target="https://erp.mju.ac.th/openFile.aspx?id=Nzc3MTM0&amp;method=inline" TargetMode="External"/><Relationship Id="rId12" Type="http://schemas.openxmlformats.org/officeDocument/2006/relationships/hyperlink" Target="https://erp.mju.ac.th/openFile.aspx?id=NzgwMzcw&amp;method=inline" TargetMode="External"/><Relationship Id="rId17" Type="http://schemas.openxmlformats.org/officeDocument/2006/relationships/hyperlink" Target="https://erp.mju.ac.th/openFile.aspx?id=NzgxMzgx&amp;method=inline" TargetMode="External"/><Relationship Id="rId25" Type="http://schemas.openxmlformats.org/officeDocument/2006/relationships/printerSettings" Target="../printerSettings/printerSettings2.bin"/><Relationship Id="rId2" Type="http://schemas.openxmlformats.org/officeDocument/2006/relationships/hyperlink" Target="https://erp.mju.ac.th/openFile.aspx?id=Nzc3MTI4&amp;method=inline" TargetMode="External"/><Relationship Id="rId16" Type="http://schemas.openxmlformats.org/officeDocument/2006/relationships/hyperlink" Target="https://erp.mju.ac.th/openFile.aspx?id=NzgwOTkw&amp;method=inline" TargetMode="External"/><Relationship Id="rId20" Type="http://schemas.openxmlformats.org/officeDocument/2006/relationships/hyperlink" Target="https://erp.mju.ac.th/openFile.aspx?id=NzgxMzg2&amp;method=inline" TargetMode="External"/><Relationship Id="rId1" Type="http://schemas.openxmlformats.org/officeDocument/2006/relationships/hyperlink" Target="https://dashboard.mju.ac.th/scopusList?dataType=2&amp;year=2568&amp;dep=20900-20900-20900" TargetMode="External"/><Relationship Id="rId6" Type="http://schemas.openxmlformats.org/officeDocument/2006/relationships/hyperlink" Target="https://erp.mju.ac.th/openFile.aspx?id=Nzc3MTM5&amp;method=inline" TargetMode="External"/><Relationship Id="rId11" Type="http://schemas.openxmlformats.org/officeDocument/2006/relationships/hyperlink" Target="https://erp.mju.ac.th/openFile.aspx?id=NzgwMjUz&amp;method=inline" TargetMode="External"/><Relationship Id="rId24" Type="http://schemas.openxmlformats.org/officeDocument/2006/relationships/hyperlink" Target="https://erp.mju.ac.th/openFile.aspx?id=NzgyNTM0&amp;method=inline" TargetMode="External"/><Relationship Id="rId5" Type="http://schemas.openxmlformats.org/officeDocument/2006/relationships/hyperlink" Target="https://erp.mju.ac.th/openFile.aspx?id=Nzc3MTM1&amp;method=inline" TargetMode="External"/><Relationship Id="rId15" Type="http://schemas.openxmlformats.org/officeDocument/2006/relationships/hyperlink" Target="https://www.canva.com/design/DAHD7VIEyVE/Y1VzLYcr7Se_xx7Aurp2DA/view?utm_content=DAHD7VIEyVE&amp;utm_campaign=designshare&amp;utm_medium=link&amp;utm_source=viewer" TargetMode="External"/><Relationship Id="rId23" Type="http://schemas.openxmlformats.org/officeDocument/2006/relationships/hyperlink" Target="https://erp.mju.ac.th/openFile.aspx?id=NzgyNTMz&amp;method=inline" TargetMode="External"/><Relationship Id="rId10" Type="http://schemas.openxmlformats.org/officeDocument/2006/relationships/hyperlink" Target="https://erp.mju.ac.th/openFile.aspx?id=NzgwMjE3&amp;method=inline" TargetMode="External"/><Relationship Id="rId19" Type="http://schemas.openxmlformats.org/officeDocument/2006/relationships/hyperlink" Target="https://erp.mju.ac.th/openFile.aspx?id=NzgxMzg1&amp;method=inline" TargetMode="External"/><Relationship Id="rId4" Type="http://schemas.openxmlformats.org/officeDocument/2006/relationships/hyperlink" Target="https://erp.mju.ac.th/openFile.aspx?id=Nzc3MTMy&amp;method=inline" TargetMode="External"/><Relationship Id="rId9" Type="http://schemas.openxmlformats.org/officeDocument/2006/relationships/hyperlink" Target="https://erp.mju.ac.th/openFile.aspx?id=NzgwMjE2&amp;method=inline" TargetMode="External"/><Relationship Id="rId14" Type="http://schemas.openxmlformats.org/officeDocument/2006/relationships/hyperlink" Target="https://erp.mju.ac.th/openFile.aspx?id=NzgwMzk1&amp;method=inline" TargetMode="External"/><Relationship Id="rId22" Type="http://schemas.openxmlformats.org/officeDocument/2006/relationships/hyperlink" Target="https://erp.mju.ac.th/openFile.aspx?id=NzgxMzg0&amp;method=inlin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erp.mju.ac.th/openFile.aspx?id=Nzc3MTM3&amp;method=inline" TargetMode="External"/><Relationship Id="rId13" Type="http://schemas.openxmlformats.org/officeDocument/2006/relationships/hyperlink" Target="https://erp.mju.ac.th/openFile.aspx?id=NzgwMzk1&amp;method=inline" TargetMode="External"/><Relationship Id="rId18" Type="http://schemas.openxmlformats.org/officeDocument/2006/relationships/hyperlink" Target="https://erp.mju.ac.th/openFile.aspx?id=NzgxMzg1&amp;method=inline" TargetMode="External"/><Relationship Id="rId26" Type="http://schemas.openxmlformats.org/officeDocument/2006/relationships/hyperlink" Target="https://erp.mju.ac.th/openFile.aspx?id=Nzk1MDcw&amp;method=inline" TargetMode="External"/><Relationship Id="rId3" Type="http://schemas.openxmlformats.org/officeDocument/2006/relationships/hyperlink" Target="https://erp.mju.ac.th/openFile.aspx?id=Nzc3MTMw&amp;method=inline" TargetMode="External"/><Relationship Id="rId21" Type="http://schemas.openxmlformats.org/officeDocument/2006/relationships/hyperlink" Target="https://erp.mju.ac.th/openFile.aspx?id=NzgxMzg0&amp;method=inline" TargetMode="External"/><Relationship Id="rId7" Type="http://schemas.openxmlformats.org/officeDocument/2006/relationships/hyperlink" Target="https://erp.mju.ac.th/openFile.aspx?id=Nzc3MTM0&amp;method=inline" TargetMode="External"/><Relationship Id="rId12" Type="http://schemas.openxmlformats.org/officeDocument/2006/relationships/hyperlink" Target="https://erp.mju.ac.th/openFile.aspx?id=NzgwMzkx&amp;method=inline" TargetMode="External"/><Relationship Id="rId17" Type="http://schemas.openxmlformats.org/officeDocument/2006/relationships/hyperlink" Target="https://erp.mju.ac.th/openFile.aspx?id=NzgxMzgz&amp;method=inline" TargetMode="External"/><Relationship Id="rId25" Type="http://schemas.openxmlformats.org/officeDocument/2006/relationships/hyperlink" Target="https://erp.mju.ac.th/openFile.aspx?id=Nzk1NDE2&amp;method=inline" TargetMode="External"/><Relationship Id="rId2" Type="http://schemas.openxmlformats.org/officeDocument/2006/relationships/hyperlink" Target="https://erp.mju.ac.th/openFile.aspx?id=Nzc3MTI4&amp;method=inline" TargetMode="External"/><Relationship Id="rId16" Type="http://schemas.openxmlformats.org/officeDocument/2006/relationships/hyperlink" Target="https://erp.mju.ac.th/openFile.aspx?id=NzgxMzgx&amp;method=inline" TargetMode="External"/><Relationship Id="rId20" Type="http://schemas.openxmlformats.org/officeDocument/2006/relationships/hyperlink" Target="https://erp.mju.ac.th/openFile.aspx?id=NzgxMzg3&amp;method=inline" TargetMode="External"/><Relationship Id="rId29" Type="http://schemas.openxmlformats.org/officeDocument/2006/relationships/printerSettings" Target="../printerSettings/printerSettings4.bin"/><Relationship Id="rId1" Type="http://schemas.openxmlformats.org/officeDocument/2006/relationships/hyperlink" Target="https://dashboard.mju.ac.th/scopusList?dataType=2&amp;year=2568&amp;dep=20900-20900-20900" TargetMode="External"/><Relationship Id="rId6" Type="http://schemas.openxmlformats.org/officeDocument/2006/relationships/hyperlink" Target="https://erp.mju.ac.th/openFile.aspx?id=Nzc3MTM5&amp;method=inline" TargetMode="External"/><Relationship Id="rId11" Type="http://schemas.openxmlformats.org/officeDocument/2006/relationships/hyperlink" Target="https://erp.mju.ac.th/openFile.aspx?id=NzgwMzcw&amp;method=inline" TargetMode="External"/><Relationship Id="rId24" Type="http://schemas.openxmlformats.org/officeDocument/2006/relationships/hyperlink" Target="https://erp.mju.ac.th/openFile.aspx?id=Nzk1NDE2&amp;method=inline" TargetMode="External"/><Relationship Id="rId5" Type="http://schemas.openxmlformats.org/officeDocument/2006/relationships/hyperlink" Target="https://erp.mju.ac.th/openFile.aspx?id=Nzc3MTM1&amp;method=inline" TargetMode="External"/><Relationship Id="rId15" Type="http://schemas.openxmlformats.org/officeDocument/2006/relationships/hyperlink" Target="https://erp.mju.ac.th/openFile.aspx?id=NzgwOTkw&amp;method=inline" TargetMode="External"/><Relationship Id="rId23" Type="http://schemas.openxmlformats.org/officeDocument/2006/relationships/hyperlink" Target="https://erp.mju.ac.th/openFile.aspx?id=NzgyNTM0&amp;method=inline" TargetMode="External"/><Relationship Id="rId28" Type="http://schemas.openxmlformats.org/officeDocument/2006/relationships/hyperlink" Target="https://erp.mju.ac.th/openFile.aspx?id=Nzk1Mjgw&amp;method=inline" TargetMode="External"/><Relationship Id="rId10" Type="http://schemas.openxmlformats.org/officeDocument/2006/relationships/hyperlink" Target="https://erp.mju.ac.th/openFile.aspx?id=NzgwMjE3&amp;method=inline" TargetMode="External"/><Relationship Id="rId19" Type="http://schemas.openxmlformats.org/officeDocument/2006/relationships/hyperlink" Target="https://erp.mju.ac.th/openFile.aspx?id=NzgxMzg2&amp;method=inline" TargetMode="External"/><Relationship Id="rId4" Type="http://schemas.openxmlformats.org/officeDocument/2006/relationships/hyperlink" Target="https://erp.mju.ac.th/openFile.aspx?id=Nzc3MTMy&amp;method=inline" TargetMode="External"/><Relationship Id="rId9" Type="http://schemas.openxmlformats.org/officeDocument/2006/relationships/hyperlink" Target="https://erp.mju.ac.th/openFile.aspx?id=NzgwMjE2&amp;method=inline" TargetMode="External"/><Relationship Id="rId14" Type="http://schemas.openxmlformats.org/officeDocument/2006/relationships/hyperlink" Target="https://www.canva.com/design/DAHD7VIEyVE/Y1VzLYcr7Se_xx7Aurp2DA/view?utm_content=DAHD7VIEyVE&amp;utm_campaign=designshare&amp;utm_medium=link&amp;utm_source=viewer" TargetMode="External"/><Relationship Id="rId22" Type="http://schemas.openxmlformats.org/officeDocument/2006/relationships/hyperlink" Target="https://erp.mju.ac.th/openFile.aspx?id=NzgyNTMz&amp;method=inline" TargetMode="External"/><Relationship Id="rId27" Type="http://schemas.openxmlformats.org/officeDocument/2006/relationships/hyperlink" Target="https://erp.mju.ac.th/openFile.aspx?id=Nzk1Mjcz&amp;method=inline" TargetMode="External"/><Relationship Id="rId30"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32B0A-89D3-478B-8830-F429E75F1145}">
  <dimension ref="A1:G64"/>
  <sheetViews>
    <sheetView topLeftCell="A52" zoomScale="120" zoomScaleNormal="120" workbookViewId="0">
      <selection activeCell="F52" sqref="F52"/>
    </sheetView>
  </sheetViews>
  <sheetFormatPr defaultRowHeight="18" x14ac:dyDescent="0.2"/>
  <cols>
    <col min="1" max="1" width="17.25" style="5" customWidth="1"/>
    <col min="2" max="2" width="8.625" style="5" customWidth="1"/>
    <col min="3" max="3" width="12.625" style="5" customWidth="1"/>
    <col min="4" max="4" width="11.75" style="5" customWidth="1"/>
    <col min="5" max="5" width="10" style="5" customWidth="1"/>
    <col min="6" max="6" width="38.75" style="5" customWidth="1"/>
    <col min="7" max="7" width="32.875" style="44" customWidth="1"/>
    <col min="8" max="16384" width="9" style="5"/>
  </cols>
  <sheetData>
    <row r="1" spans="1:7" s="2" customFormat="1" ht="25.5" customHeight="1" x14ac:dyDescent="0.2">
      <c r="A1" s="119" t="s">
        <v>79</v>
      </c>
      <c r="B1" s="119"/>
      <c r="C1" s="119"/>
      <c r="D1" s="119"/>
      <c r="E1" s="119"/>
      <c r="F1" s="119"/>
      <c r="G1" s="119"/>
    </row>
    <row r="2" spans="1:7" s="2" customFormat="1" ht="24" customHeight="1" x14ac:dyDescent="0.2">
      <c r="A2" s="120" t="s">
        <v>80</v>
      </c>
      <c r="B2" s="120"/>
      <c r="C2" s="120"/>
      <c r="D2" s="120"/>
      <c r="E2" s="120"/>
      <c r="F2" s="120"/>
      <c r="G2" s="120"/>
    </row>
    <row r="3" spans="1:7" ht="45.75" customHeight="1" x14ac:dyDescent="0.2">
      <c r="A3" s="3" t="s">
        <v>0</v>
      </c>
      <c r="B3" s="3" t="s">
        <v>1</v>
      </c>
      <c r="C3" s="4" t="s">
        <v>146</v>
      </c>
      <c r="D3" s="3" t="s">
        <v>81</v>
      </c>
      <c r="E3" s="3" t="s">
        <v>147</v>
      </c>
      <c r="F3" s="3" t="s">
        <v>82</v>
      </c>
      <c r="G3" s="3" t="s">
        <v>83</v>
      </c>
    </row>
    <row r="4" spans="1:7" ht="18.75" x14ac:dyDescent="0.2">
      <c r="A4" s="121" t="s">
        <v>3</v>
      </c>
      <c r="B4" s="121"/>
      <c r="C4" s="121"/>
      <c r="D4" s="121"/>
      <c r="E4" s="121"/>
      <c r="F4" s="121"/>
      <c r="G4" s="121"/>
    </row>
    <row r="5" spans="1:7" ht="18.75" x14ac:dyDescent="0.2">
      <c r="A5" s="118" t="s">
        <v>4</v>
      </c>
      <c r="B5" s="118"/>
      <c r="C5" s="118"/>
      <c r="D5" s="118"/>
      <c r="E5" s="118"/>
      <c r="F5" s="118"/>
      <c r="G5" s="118"/>
    </row>
    <row r="6" spans="1:7" ht="60" customHeight="1" x14ac:dyDescent="0.2">
      <c r="A6" s="6" t="s">
        <v>5</v>
      </c>
      <c r="B6" s="7" t="s">
        <v>6</v>
      </c>
      <c r="C6" s="7" t="s">
        <v>7</v>
      </c>
      <c r="D6" s="8"/>
      <c r="E6" s="6"/>
      <c r="F6" s="7" t="s">
        <v>8</v>
      </c>
      <c r="G6" s="42" t="s">
        <v>100</v>
      </c>
    </row>
    <row r="7" spans="1:7" ht="53.25" customHeight="1" x14ac:dyDescent="0.2">
      <c r="A7" s="6" t="s">
        <v>9</v>
      </c>
      <c r="B7" s="7" t="s">
        <v>6</v>
      </c>
      <c r="C7" s="7">
        <v>10</v>
      </c>
      <c r="D7" s="8"/>
      <c r="E7" s="6"/>
      <c r="F7" s="7" t="s">
        <v>8</v>
      </c>
      <c r="G7" s="42" t="s">
        <v>103</v>
      </c>
    </row>
    <row r="8" spans="1:7" ht="52.5" customHeight="1" x14ac:dyDescent="0.2">
      <c r="A8" s="6" t="s">
        <v>10</v>
      </c>
      <c r="B8" s="7" t="s">
        <v>6</v>
      </c>
      <c r="C8" s="7" t="s">
        <v>11</v>
      </c>
      <c r="D8" s="8"/>
      <c r="E8" s="6"/>
      <c r="F8" s="7" t="s">
        <v>8</v>
      </c>
      <c r="G8" s="42" t="s">
        <v>104</v>
      </c>
    </row>
    <row r="9" spans="1:7" ht="159.75" customHeight="1" x14ac:dyDescent="0.2">
      <c r="A9" s="6" t="s">
        <v>12</v>
      </c>
      <c r="B9" s="7" t="s">
        <v>13</v>
      </c>
      <c r="C9" s="7">
        <v>5</v>
      </c>
      <c r="D9" s="8"/>
      <c r="E9" s="6"/>
      <c r="F9" s="7" t="s">
        <v>8</v>
      </c>
      <c r="G9" s="42" t="s">
        <v>105</v>
      </c>
    </row>
    <row r="10" spans="1:7" ht="95.25" customHeight="1" x14ac:dyDescent="0.2">
      <c r="A10" s="6" t="s">
        <v>14</v>
      </c>
      <c r="B10" s="7" t="s">
        <v>13</v>
      </c>
      <c r="C10" s="7">
        <v>3</v>
      </c>
      <c r="D10" s="8"/>
      <c r="E10" s="6"/>
      <c r="F10" s="7" t="s">
        <v>8</v>
      </c>
      <c r="G10" s="43" t="s">
        <v>101</v>
      </c>
    </row>
    <row r="11" spans="1:7" ht="18.75" x14ac:dyDescent="0.2">
      <c r="A11" s="118" t="s">
        <v>15</v>
      </c>
      <c r="B11" s="118"/>
      <c r="C11" s="118"/>
      <c r="D11" s="118"/>
      <c r="E11" s="118"/>
      <c r="F11" s="118"/>
      <c r="G11" s="118"/>
    </row>
    <row r="12" spans="1:7" ht="290.25" customHeight="1" x14ac:dyDescent="0.2">
      <c r="A12" s="6" t="s">
        <v>16</v>
      </c>
      <c r="B12" s="7" t="s">
        <v>17</v>
      </c>
      <c r="C12" s="7">
        <v>90</v>
      </c>
      <c r="D12" s="8"/>
      <c r="E12" s="6"/>
      <c r="F12" s="7" t="s">
        <v>8</v>
      </c>
      <c r="G12" s="42" t="s">
        <v>102</v>
      </c>
    </row>
    <row r="13" spans="1:7" ht="285.75" customHeight="1" x14ac:dyDescent="0.2">
      <c r="A13" s="6" t="s">
        <v>18</v>
      </c>
      <c r="B13" s="7" t="s">
        <v>17</v>
      </c>
      <c r="C13" s="7">
        <v>90</v>
      </c>
      <c r="D13" s="8"/>
      <c r="E13" s="6"/>
      <c r="F13" s="7" t="s">
        <v>8</v>
      </c>
      <c r="G13" s="42" t="s">
        <v>106</v>
      </c>
    </row>
    <row r="14" spans="1:7" ht="189" x14ac:dyDescent="0.2">
      <c r="A14" s="6" t="s">
        <v>84</v>
      </c>
      <c r="B14" s="7" t="s">
        <v>17</v>
      </c>
      <c r="C14" s="7">
        <v>90</v>
      </c>
      <c r="D14" s="8"/>
      <c r="E14" s="6"/>
      <c r="F14" s="7" t="s">
        <v>8</v>
      </c>
      <c r="G14" s="42" t="s">
        <v>107</v>
      </c>
    </row>
    <row r="15" spans="1:7" ht="18.75" x14ac:dyDescent="0.2">
      <c r="A15" s="121" t="s">
        <v>19</v>
      </c>
      <c r="B15" s="121"/>
      <c r="C15" s="121"/>
      <c r="D15" s="121"/>
      <c r="E15" s="121"/>
      <c r="F15" s="121"/>
      <c r="G15" s="121"/>
    </row>
    <row r="16" spans="1:7" ht="18.75" x14ac:dyDescent="0.2">
      <c r="A16" s="118" t="s">
        <v>20</v>
      </c>
      <c r="B16" s="118"/>
      <c r="C16" s="118"/>
      <c r="D16" s="118"/>
      <c r="E16" s="118"/>
      <c r="F16" s="118"/>
      <c r="G16" s="118"/>
    </row>
    <row r="17" spans="1:7" ht="47.25" x14ac:dyDescent="0.2">
      <c r="A17" s="6" t="s">
        <v>21</v>
      </c>
      <c r="B17" s="7" t="s">
        <v>22</v>
      </c>
      <c r="C17" s="7">
        <v>130</v>
      </c>
      <c r="D17" s="8"/>
      <c r="E17" s="6"/>
      <c r="F17" s="7" t="s">
        <v>8</v>
      </c>
      <c r="G17" s="43" t="s">
        <v>108</v>
      </c>
    </row>
    <row r="18" spans="1:7" ht="63" x14ac:dyDescent="0.2">
      <c r="A18" s="6" t="s">
        <v>23</v>
      </c>
      <c r="B18" s="7" t="s">
        <v>17</v>
      </c>
      <c r="C18" s="7">
        <v>80</v>
      </c>
      <c r="D18" s="8"/>
      <c r="E18" s="6"/>
      <c r="F18" s="7" t="s">
        <v>8</v>
      </c>
      <c r="G18" s="43" t="s">
        <v>109</v>
      </c>
    </row>
    <row r="19" spans="1:7" ht="56.25" customHeight="1" x14ac:dyDescent="0.2">
      <c r="A19" s="6" t="s">
        <v>24</v>
      </c>
      <c r="B19" s="7" t="s">
        <v>17</v>
      </c>
      <c r="C19" s="13">
        <v>80</v>
      </c>
      <c r="D19" s="8"/>
      <c r="E19" s="6"/>
      <c r="F19" s="7" t="s">
        <v>8</v>
      </c>
      <c r="G19" s="43" t="s">
        <v>110</v>
      </c>
    </row>
    <row r="20" spans="1:7" ht="47.25" x14ac:dyDescent="0.2">
      <c r="A20" s="6" t="s">
        <v>25</v>
      </c>
      <c r="B20" s="7" t="s">
        <v>26</v>
      </c>
      <c r="C20" s="7">
        <v>4.4000000000000004</v>
      </c>
      <c r="D20" s="8"/>
      <c r="E20" s="6"/>
      <c r="F20" s="7" t="s">
        <v>8</v>
      </c>
      <c r="G20" s="43" t="s">
        <v>111</v>
      </c>
    </row>
    <row r="21" spans="1:7" ht="56.25" x14ac:dyDescent="0.2">
      <c r="A21" s="6" t="s">
        <v>27</v>
      </c>
      <c r="B21" s="7" t="s">
        <v>28</v>
      </c>
      <c r="C21" s="9">
        <v>15000</v>
      </c>
      <c r="D21" s="8"/>
      <c r="E21" s="6"/>
      <c r="F21" s="7" t="s">
        <v>8</v>
      </c>
      <c r="G21" s="43" t="s">
        <v>112</v>
      </c>
    </row>
    <row r="22" spans="1:7" ht="78.75" x14ac:dyDescent="0.2">
      <c r="A22" s="6" t="s">
        <v>29</v>
      </c>
      <c r="B22" s="7" t="s">
        <v>26</v>
      </c>
      <c r="C22" s="7">
        <v>3</v>
      </c>
      <c r="D22" s="8"/>
      <c r="E22" s="6"/>
      <c r="F22" s="7" t="s">
        <v>8</v>
      </c>
      <c r="G22" s="43" t="s">
        <v>113</v>
      </c>
    </row>
    <row r="23" spans="1:7" ht="47.25" x14ac:dyDescent="0.2">
      <c r="A23" s="6" t="s">
        <v>30</v>
      </c>
      <c r="B23" s="7" t="s">
        <v>31</v>
      </c>
      <c r="C23" s="7">
        <v>2</v>
      </c>
      <c r="D23" s="8"/>
      <c r="E23" s="6"/>
      <c r="F23" s="7" t="s">
        <v>8</v>
      </c>
      <c r="G23" s="42" t="s">
        <v>114</v>
      </c>
    </row>
    <row r="24" spans="1:7" ht="75" customHeight="1" x14ac:dyDescent="0.2">
      <c r="A24" s="6" t="s">
        <v>32</v>
      </c>
      <c r="B24" s="7" t="s">
        <v>33</v>
      </c>
      <c r="C24" s="7">
        <v>5</v>
      </c>
      <c r="D24" s="8"/>
      <c r="E24" s="6"/>
      <c r="F24" s="7" t="s">
        <v>8</v>
      </c>
      <c r="G24" s="42" t="s">
        <v>115</v>
      </c>
    </row>
    <row r="25" spans="1:7" ht="112.5" x14ac:dyDescent="0.2">
      <c r="A25" s="6" t="s">
        <v>34</v>
      </c>
      <c r="B25" s="7" t="s">
        <v>17</v>
      </c>
      <c r="C25" s="7">
        <v>90</v>
      </c>
      <c r="D25" s="8"/>
      <c r="E25" s="6"/>
      <c r="F25" s="7" t="s">
        <v>8</v>
      </c>
      <c r="G25" s="42" t="s">
        <v>116</v>
      </c>
    </row>
    <row r="26" spans="1:7" ht="18.75" x14ac:dyDescent="0.2">
      <c r="A26" s="118" t="s">
        <v>35</v>
      </c>
      <c r="B26" s="118"/>
      <c r="C26" s="118"/>
      <c r="D26" s="118"/>
      <c r="E26" s="118"/>
      <c r="F26" s="118"/>
      <c r="G26" s="118"/>
    </row>
    <row r="27" spans="1:7" ht="68.25" customHeight="1" x14ac:dyDescent="0.2">
      <c r="A27" s="6" t="s">
        <v>36</v>
      </c>
      <c r="B27" s="7" t="s">
        <v>28</v>
      </c>
      <c r="C27" s="9">
        <v>5167959</v>
      </c>
      <c r="D27" s="8"/>
      <c r="E27" s="6"/>
      <c r="F27" s="7" t="s">
        <v>8</v>
      </c>
      <c r="G27" s="43" t="s">
        <v>117</v>
      </c>
    </row>
    <row r="28" spans="1:7" ht="56.25" x14ac:dyDescent="0.2">
      <c r="A28" s="6" t="s">
        <v>37</v>
      </c>
      <c r="B28" s="7" t="s">
        <v>17</v>
      </c>
      <c r="C28" s="7">
        <v>70</v>
      </c>
      <c r="D28" s="8"/>
      <c r="E28" s="6"/>
      <c r="F28" s="6"/>
      <c r="G28" s="1" t="s">
        <v>118</v>
      </c>
    </row>
    <row r="29" spans="1:7" ht="75" x14ac:dyDescent="0.2">
      <c r="A29" s="6" t="s">
        <v>38</v>
      </c>
      <c r="B29" s="7" t="s">
        <v>39</v>
      </c>
      <c r="C29" s="7">
        <v>3</v>
      </c>
      <c r="D29" s="8"/>
      <c r="E29" s="10"/>
      <c r="F29" s="6"/>
      <c r="G29" s="1" t="s">
        <v>119</v>
      </c>
    </row>
    <row r="30" spans="1:7" ht="93.75" x14ac:dyDescent="0.2">
      <c r="A30" s="6" t="s">
        <v>40</v>
      </c>
      <c r="B30" s="7" t="s">
        <v>17</v>
      </c>
      <c r="C30" s="7">
        <v>50</v>
      </c>
      <c r="D30" s="8"/>
      <c r="E30" s="11"/>
      <c r="F30" s="6"/>
      <c r="G30" s="1" t="s">
        <v>120</v>
      </c>
    </row>
    <row r="31" spans="1:7" ht="93.75" x14ac:dyDescent="0.2">
      <c r="A31" s="6" t="s">
        <v>41</v>
      </c>
      <c r="B31" s="7" t="s">
        <v>17</v>
      </c>
      <c r="C31" s="7">
        <v>110</v>
      </c>
      <c r="D31" s="8"/>
      <c r="E31" s="6"/>
      <c r="F31" s="6"/>
      <c r="G31" s="1" t="s">
        <v>121</v>
      </c>
    </row>
    <row r="32" spans="1:7" ht="81.75" customHeight="1" x14ac:dyDescent="0.2">
      <c r="A32" s="6" t="s">
        <v>42</v>
      </c>
      <c r="B32" s="7" t="s">
        <v>43</v>
      </c>
      <c r="C32" s="7">
        <v>2</v>
      </c>
      <c r="D32" s="8"/>
      <c r="E32" s="11"/>
      <c r="F32" s="6"/>
      <c r="G32" s="1" t="s">
        <v>122</v>
      </c>
    </row>
    <row r="33" spans="1:7" ht="61.5" customHeight="1" x14ac:dyDescent="0.2">
      <c r="A33" s="6" t="s">
        <v>44</v>
      </c>
      <c r="B33" s="7" t="s">
        <v>17</v>
      </c>
      <c r="C33" s="7">
        <v>60</v>
      </c>
      <c r="D33" s="8"/>
      <c r="E33" s="11"/>
      <c r="F33" s="6"/>
      <c r="G33" s="1" t="s">
        <v>123</v>
      </c>
    </row>
    <row r="34" spans="1:7" ht="43.5" customHeight="1" x14ac:dyDescent="0.2">
      <c r="A34" s="6" t="s">
        <v>45</v>
      </c>
      <c r="B34" s="7" t="s">
        <v>46</v>
      </c>
      <c r="C34" s="7">
        <v>10</v>
      </c>
      <c r="D34" s="8"/>
      <c r="E34" s="6"/>
      <c r="F34" s="7" t="s">
        <v>8</v>
      </c>
      <c r="G34" s="42" t="s">
        <v>124</v>
      </c>
    </row>
    <row r="35" spans="1:7" ht="18.75" x14ac:dyDescent="0.2">
      <c r="A35" s="118" t="s">
        <v>47</v>
      </c>
      <c r="B35" s="118"/>
      <c r="C35" s="118"/>
      <c r="D35" s="118"/>
      <c r="E35" s="118"/>
      <c r="F35" s="118"/>
      <c r="G35" s="118"/>
    </row>
    <row r="36" spans="1:7" ht="56.25" x14ac:dyDescent="0.2">
      <c r="A36" s="6" t="s">
        <v>48</v>
      </c>
      <c r="B36" s="7" t="s">
        <v>28</v>
      </c>
      <c r="C36" s="9">
        <v>745000</v>
      </c>
      <c r="D36" s="8"/>
      <c r="E36" s="6"/>
      <c r="F36" s="7" t="s">
        <v>8</v>
      </c>
      <c r="G36" s="43" t="s">
        <v>125</v>
      </c>
    </row>
    <row r="37" spans="1:7" ht="75" x14ac:dyDescent="0.2">
      <c r="A37" s="6" t="s">
        <v>49</v>
      </c>
      <c r="B37" s="7" t="s">
        <v>26</v>
      </c>
      <c r="C37" s="7">
        <v>4</v>
      </c>
      <c r="D37" s="8"/>
      <c r="E37" s="6"/>
      <c r="F37" s="9"/>
      <c r="G37" s="42" t="s">
        <v>126</v>
      </c>
    </row>
    <row r="38" spans="1:7" ht="78.75" x14ac:dyDescent="0.2">
      <c r="A38" s="6" t="s">
        <v>50</v>
      </c>
      <c r="B38" s="7" t="s">
        <v>13</v>
      </c>
      <c r="C38" s="7">
        <v>5</v>
      </c>
      <c r="D38" s="8"/>
      <c r="E38" s="6"/>
      <c r="F38" s="9"/>
      <c r="G38" s="42" t="s">
        <v>127</v>
      </c>
    </row>
    <row r="39" spans="1:7" ht="18.75" x14ac:dyDescent="0.2">
      <c r="A39" s="118" t="s">
        <v>51</v>
      </c>
      <c r="B39" s="118"/>
      <c r="C39" s="118"/>
      <c r="D39" s="118"/>
      <c r="E39" s="118"/>
      <c r="F39" s="118"/>
      <c r="G39" s="118"/>
    </row>
    <row r="40" spans="1:7" ht="46.5" customHeight="1" x14ac:dyDescent="0.2">
      <c r="A40" s="6" t="s">
        <v>52</v>
      </c>
      <c r="B40" s="7" t="s">
        <v>17</v>
      </c>
      <c r="C40" s="7">
        <v>80</v>
      </c>
      <c r="D40" s="8"/>
      <c r="E40" s="6"/>
      <c r="F40" s="7" t="s">
        <v>8</v>
      </c>
      <c r="G40" s="43" t="s">
        <v>128</v>
      </c>
    </row>
    <row r="41" spans="1:7" ht="99" customHeight="1" x14ac:dyDescent="0.2">
      <c r="A41" s="6" t="s">
        <v>53</v>
      </c>
      <c r="B41" s="7" t="s">
        <v>46</v>
      </c>
      <c r="C41" s="7">
        <v>5</v>
      </c>
      <c r="D41" s="8"/>
      <c r="E41" s="6"/>
      <c r="F41" s="7" t="s">
        <v>8</v>
      </c>
      <c r="G41" s="42" t="s">
        <v>129</v>
      </c>
    </row>
    <row r="42" spans="1:7" ht="18.75" x14ac:dyDescent="0.2">
      <c r="A42" s="122" t="s">
        <v>54</v>
      </c>
      <c r="B42" s="122"/>
      <c r="C42" s="122"/>
      <c r="D42" s="122"/>
      <c r="E42" s="122"/>
      <c r="F42" s="122"/>
      <c r="G42" s="122"/>
    </row>
    <row r="43" spans="1:7" ht="18.75" x14ac:dyDescent="0.2">
      <c r="A43" s="118" t="s">
        <v>55</v>
      </c>
      <c r="B43" s="118"/>
      <c r="C43" s="118"/>
      <c r="D43" s="118"/>
      <c r="E43" s="118"/>
      <c r="F43" s="118"/>
      <c r="G43" s="118"/>
    </row>
    <row r="44" spans="1:7" ht="56.25" customHeight="1" x14ac:dyDescent="0.2">
      <c r="A44" s="6" t="s">
        <v>56</v>
      </c>
      <c r="B44" s="12" t="s">
        <v>22</v>
      </c>
      <c r="C44" s="13">
        <v>2</v>
      </c>
      <c r="D44" s="8"/>
      <c r="E44" s="6"/>
      <c r="F44" s="7" t="s">
        <v>8</v>
      </c>
      <c r="G44" s="43" t="s">
        <v>130</v>
      </c>
    </row>
    <row r="45" spans="1:7" ht="75" x14ac:dyDescent="0.2">
      <c r="A45" s="6" t="s">
        <v>57</v>
      </c>
      <c r="B45" s="12" t="s">
        <v>22</v>
      </c>
      <c r="C45" s="7">
        <v>4</v>
      </c>
      <c r="D45" s="8"/>
      <c r="E45" s="6"/>
      <c r="F45" s="6"/>
      <c r="G45" s="1" t="s">
        <v>131</v>
      </c>
    </row>
    <row r="46" spans="1:7" ht="93.75" x14ac:dyDescent="0.2">
      <c r="A46" s="6" t="s">
        <v>58</v>
      </c>
      <c r="B46" s="12" t="s">
        <v>22</v>
      </c>
      <c r="C46" s="7">
        <v>30</v>
      </c>
      <c r="D46" s="8"/>
      <c r="E46" s="6"/>
      <c r="F46" s="6"/>
      <c r="G46" s="1" t="s">
        <v>132</v>
      </c>
    </row>
    <row r="47" spans="1:7" ht="75" x14ac:dyDescent="0.2">
      <c r="A47" s="6" t="s">
        <v>59</v>
      </c>
      <c r="B47" s="7" t="s">
        <v>46</v>
      </c>
      <c r="C47" s="13">
        <v>4</v>
      </c>
      <c r="D47" s="8"/>
      <c r="E47" s="6"/>
      <c r="F47" s="7" t="s">
        <v>8</v>
      </c>
      <c r="G47" s="42" t="s">
        <v>133</v>
      </c>
    </row>
    <row r="48" spans="1:7" ht="75" x14ac:dyDescent="0.2">
      <c r="A48" s="6" t="s">
        <v>60</v>
      </c>
      <c r="B48" s="7" t="s">
        <v>17</v>
      </c>
      <c r="C48" s="13">
        <v>55</v>
      </c>
      <c r="D48" s="8"/>
      <c r="E48" s="6"/>
      <c r="F48" s="7" t="s">
        <v>8</v>
      </c>
      <c r="G48" s="42" t="s">
        <v>134</v>
      </c>
    </row>
    <row r="49" spans="1:7" ht="18.75" x14ac:dyDescent="0.2">
      <c r="A49" s="121" t="s">
        <v>61</v>
      </c>
      <c r="B49" s="121"/>
      <c r="C49" s="121"/>
      <c r="D49" s="121"/>
      <c r="E49" s="121"/>
      <c r="F49" s="121"/>
      <c r="G49" s="121"/>
    </row>
    <row r="50" spans="1:7" ht="18.75" x14ac:dyDescent="0.2">
      <c r="A50" s="118" t="s">
        <v>62</v>
      </c>
      <c r="B50" s="118"/>
      <c r="C50" s="118"/>
      <c r="D50" s="118"/>
      <c r="E50" s="118"/>
      <c r="F50" s="118"/>
      <c r="G50" s="118"/>
    </row>
    <row r="51" spans="1:7" ht="93.75" customHeight="1" x14ac:dyDescent="0.2">
      <c r="A51" s="6" t="s">
        <v>63</v>
      </c>
      <c r="B51" s="7" t="s">
        <v>22</v>
      </c>
      <c r="C51" s="13">
        <v>4</v>
      </c>
      <c r="D51" s="8"/>
      <c r="E51" s="6"/>
      <c r="F51" s="7" t="s">
        <v>8</v>
      </c>
      <c r="G51" s="43" t="s">
        <v>135</v>
      </c>
    </row>
    <row r="52" spans="1:7" ht="93.75" x14ac:dyDescent="0.2">
      <c r="A52" s="6" t="s">
        <v>64</v>
      </c>
      <c r="B52" s="7" t="s">
        <v>65</v>
      </c>
      <c r="C52" s="7">
        <v>2</v>
      </c>
      <c r="D52" s="8"/>
      <c r="E52" s="6"/>
      <c r="F52" s="7" t="s">
        <v>8</v>
      </c>
      <c r="G52" s="42" t="s">
        <v>136</v>
      </c>
    </row>
    <row r="53" spans="1:7" ht="173.25" x14ac:dyDescent="0.2">
      <c r="A53" s="6" t="s">
        <v>66</v>
      </c>
      <c r="B53" s="7" t="s">
        <v>13</v>
      </c>
      <c r="C53" s="7">
        <v>5</v>
      </c>
      <c r="D53" s="14"/>
      <c r="E53" s="6"/>
      <c r="F53" s="6"/>
      <c r="G53" s="1" t="s">
        <v>137</v>
      </c>
    </row>
    <row r="54" spans="1:7" ht="18.75" x14ac:dyDescent="0.2">
      <c r="A54" s="121" t="s">
        <v>67</v>
      </c>
      <c r="B54" s="121"/>
      <c r="C54" s="121"/>
      <c r="D54" s="121"/>
      <c r="E54" s="121"/>
      <c r="F54" s="121"/>
      <c r="G54" s="121"/>
    </row>
    <row r="55" spans="1:7" ht="18.75" x14ac:dyDescent="0.2">
      <c r="A55" s="118" t="s">
        <v>68</v>
      </c>
      <c r="B55" s="118"/>
      <c r="C55" s="118"/>
      <c r="D55" s="118"/>
      <c r="E55" s="118"/>
      <c r="F55" s="118"/>
      <c r="G55" s="118"/>
    </row>
    <row r="56" spans="1:7" ht="283.5" x14ac:dyDescent="0.2">
      <c r="A56" s="6" t="s">
        <v>69</v>
      </c>
      <c r="B56" s="7" t="s">
        <v>13</v>
      </c>
      <c r="C56" s="7">
        <v>5</v>
      </c>
      <c r="D56" s="8"/>
      <c r="E56" s="6"/>
      <c r="F56" s="7" t="s">
        <v>8</v>
      </c>
      <c r="G56" s="43" t="s">
        <v>138</v>
      </c>
    </row>
    <row r="57" spans="1:7" ht="56.25" x14ac:dyDescent="0.2">
      <c r="A57" s="6" t="s">
        <v>70</v>
      </c>
      <c r="B57" s="7" t="s">
        <v>17</v>
      </c>
      <c r="C57" s="7">
        <v>68.75</v>
      </c>
      <c r="D57" s="8"/>
      <c r="E57" s="6"/>
      <c r="F57" s="7" t="s">
        <v>8</v>
      </c>
      <c r="G57" s="42" t="s">
        <v>139</v>
      </c>
    </row>
    <row r="58" spans="1:7" ht="75" x14ac:dyDescent="0.2">
      <c r="A58" s="6" t="s">
        <v>71</v>
      </c>
      <c r="B58" s="7" t="s">
        <v>17</v>
      </c>
      <c r="C58" s="7">
        <v>80</v>
      </c>
      <c r="D58" s="8"/>
      <c r="E58" s="6"/>
      <c r="F58" s="7" t="s">
        <v>8</v>
      </c>
      <c r="G58" s="42" t="s">
        <v>140</v>
      </c>
    </row>
    <row r="59" spans="1:7" ht="18.75" x14ac:dyDescent="0.2">
      <c r="A59" s="118" t="s">
        <v>72</v>
      </c>
      <c r="B59" s="118"/>
      <c r="C59" s="118"/>
      <c r="D59" s="118"/>
      <c r="E59" s="118"/>
      <c r="F59" s="118"/>
      <c r="G59" s="118"/>
    </row>
    <row r="60" spans="1:7" ht="75" x14ac:dyDescent="0.2">
      <c r="A60" s="6" t="s">
        <v>73</v>
      </c>
      <c r="B60" s="7" t="s">
        <v>17</v>
      </c>
      <c r="C60" s="7">
        <v>95</v>
      </c>
      <c r="D60" s="8"/>
      <c r="E60" s="6"/>
      <c r="F60" s="7" t="s">
        <v>8</v>
      </c>
      <c r="G60" s="42" t="s">
        <v>141</v>
      </c>
    </row>
    <row r="61" spans="1:7" ht="75" customHeight="1" x14ac:dyDescent="0.2">
      <c r="A61" s="6" t="s">
        <v>74</v>
      </c>
      <c r="B61" s="7" t="s">
        <v>28</v>
      </c>
      <c r="C61" s="15">
        <v>500000</v>
      </c>
      <c r="D61" s="8"/>
      <c r="E61" s="6"/>
      <c r="F61" s="7" t="s">
        <v>8</v>
      </c>
      <c r="G61" s="43" t="s">
        <v>142</v>
      </c>
    </row>
    <row r="62" spans="1:7" ht="63" x14ac:dyDescent="0.2">
      <c r="A62" s="6" t="s">
        <v>75</v>
      </c>
      <c r="B62" s="7" t="s">
        <v>28</v>
      </c>
      <c r="C62" s="9">
        <v>25428081</v>
      </c>
      <c r="D62" s="8"/>
      <c r="E62" s="6"/>
      <c r="F62" s="7" t="s">
        <v>8</v>
      </c>
      <c r="G62" s="42" t="s">
        <v>143</v>
      </c>
    </row>
    <row r="63" spans="1:7" ht="56.25" x14ac:dyDescent="0.2">
      <c r="A63" s="6" t="s">
        <v>76</v>
      </c>
      <c r="B63" s="7" t="s">
        <v>17</v>
      </c>
      <c r="C63" s="7" t="s">
        <v>77</v>
      </c>
      <c r="D63" s="8"/>
      <c r="E63" s="6"/>
      <c r="F63" s="7" t="s">
        <v>8</v>
      </c>
      <c r="G63" s="43" t="s">
        <v>144</v>
      </c>
    </row>
    <row r="64" spans="1:7" ht="112.5" x14ac:dyDescent="0.2">
      <c r="A64" s="6" t="s">
        <v>78</v>
      </c>
      <c r="B64" s="7" t="s">
        <v>13</v>
      </c>
      <c r="C64" s="16">
        <v>5</v>
      </c>
      <c r="D64" s="8"/>
      <c r="E64" s="6"/>
      <c r="F64" s="7" t="s">
        <v>8</v>
      </c>
      <c r="G64" s="42" t="s">
        <v>145</v>
      </c>
    </row>
  </sheetData>
  <mergeCells count="17">
    <mergeCell ref="A15:G15"/>
    <mergeCell ref="A16:G16"/>
    <mergeCell ref="A43:G43"/>
    <mergeCell ref="A42:G42"/>
    <mergeCell ref="A39:G39"/>
    <mergeCell ref="A35:G35"/>
    <mergeCell ref="A26:G26"/>
    <mergeCell ref="A59:G59"/>
    <mergeCell ref="A55:G55"/>
    <mergeCell ref="A54:G54"/>
    <mergeCell ref="A49:G49"/>
    <mergeCell ref="A50:G50"/>
    <mergeCell ref="A11:G11"/>
    <mergeCell ref="A4:G4"/>
    <mergeCell ref="A5:G5"/>
    <mergeCell ref="A1:G1"/>
    <mergeCell ref="A2:G2"/>
  </mergeCells>
  <printOptions horizontalCentered="1"/>
  <pageMargins left="0.31496062992125984" right="0.31496062992125984" top="0.74803149606299213" bottom="0.74803149606299213"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95FF3-DB22-4AAC-B7A0-AB95D65D6E19}">
  <dimension ref="A1:G75"/>
  <sheetViews>
    <sheetView topLeftCell="A32" zoomScale="110" zoomScaleNormal="110" workbookViewId="0">
      <selection activeCell="F35" sqref="F35"/>
    </sheetView>
  </sheetViews>
  <sheetFormatPr defaultRowHeight="18" x14ac:dyDescent="0.2"/>
  <cols>
    <col min="1" max="1" width="17.25" style="5" customWidth="1"/>
    <col min="2" max="2" width="8.625" style="5" customWidth="1"/>
    <col min="3" max="3" width="12.625" style="5" customWidth="1"/>
    <col min="4" max="4" width="11.75" style="46" customWidth="1"/>
    <col min="5" max="5" width="10" style="46" customWidth="1"/>
    <col min="6" max="6" width="38.75" style="84" customWidth="1"/>
    <col min="7" max="7" width="32.875" style="44" customWidth="1"/>
    <col min="8" max="16384" width="9" style="5"/>
  </cols>
  <sheetData>
    <row r="1" spans="1:7" ht="21.75" customHeight="1" x14ac:dyDescent="0.2">
      <c r="G1" s="103"/>
    </row>
    <row r="2" spans="1:7" s="2" customFormat="1" ht="25.5" customHeight="1" x14ac:dyDescent="0.2">
      <c r="A2" s="119" t="s">
        <v>79</v>
      </c>
      <c r="B2" s="119"/>
      <c r="C2" s="119"/>
      <c r="D2" s="119"/>
      <c r="E2" s="119"/>
      <c r="F2" s="119"/>
      <c r="G2" s="119"/>
    </row>
    <row r="3" spans="1:7" s="2" customFormat="1" ht="23.25" customHeight="1" x14ac:dyDescent="0.2">
      <c r="A3" s="120" t="s">
        <v>148</v>
      </c>
      <c r="B3" s="120"/>
      <c r="C3" s="120"/>
      <c r="D3" s="120"/>
      <c r="E3" s="120"/>
      <c r="F3" s="120"/>
      <c r="G3" s="120"/>
    </row>
    <row r="4" spans="1:7" ht="48" customHeight="1" x14ac:dyDescent="0.2">
      <c r="A4" s="3" t="s">
        <v>0</v>
      </c>
      <c r="B4" s="3" t="s">
        <v>1</v>
      </c>
      <c r="C4" s="4" t="s">
        <v>146</v>
      </c>
      <c r="D4" s="3" t="s">
        <v>81</v>
      </c>
      <c r="E4" s="3" t="s">
        <v>147</v>
      </c>
      <c r="F4" s="3" t="s">
        <v>82</v>
      </c>
      <c r="G4" s="3" t="s">
        <v>83</v>
      </c>
    </row>
    <row r="5" spans="1:7" ht="20.25" customHeight="1" x14ac:dyDescent="0.2">
      <c r="A5" s="121" t="s">
        <v>3</v>
      </c>
      <c r="B5" s="121"/>
      <c r="C5" s="121"/>
      <c r="D5" s="121"/>
      <c r="E5" s="121"/>
      <c r="F5" s="121"/>
      <c r="G5" s="121"/>
    </row>
    <row r="6" spans="1:7" ht="24" customHeight="1" x14ac:dyDescent="0.2">
      <c r="A6" s="118" t="s">
        <v>4</v>
      </c>
      <c r="B6" s="118"/>
      <c r="C6" s="118"/>
      <c r="D6" s="118"/>
      <c r="E6" s="118"/>
      <c r="F6" s="118"/>
      <c r="G6" s="118"/>
    </row>
    <row r="7" spans="1:7" ht="60" customHeight="1" x14ac:dyDescent="0.2">
      <c r="A7" s="6" t="s">
        <v>5</v>
      </c>
      <c r="B7" s="7" t="s">
        <v>6</v>
      </c>
      <c r="C7" s="51" t="s">
        <v>7</v>
      </c>
      <c r="D7" s="85">
        <v>1501</v>
      </c>
      <c r="E7" s="7">
        <v>100</v>
      </c>
      <c r="F7" s="42" t="s">
        <v>193</v>
      </c>
      <c r="G7" s="42" t="s">
        <v>100</v>
      </c>
    </row>
    <row r="8" spans="1:7" ht="53.25" customHeight="1" x14ac:dyDescent="0.2">
      <c r="A8" s="6" t="s">
        <v>9</v>
      </c>
      <c r="B8" s="7" t="s">
        <v>6</v>
      </c>
      <c r="C8" s="51">
        <v>10</v>
      </c>
      <c r="D8" s="47">
        <v>13</v>
      </c>
      <c r="E8" s="45">
        <f>10*100/13</f>
        <v>76.92307692307692</v>
      </c>
      <c r="F8" s="42" t="s">
        <v>193</v>
      </c>
      <c r="G8" s="42" t="s">
        <v>103</v>
      </c>
    </row>
    <row r="9" spans="1:7" ht="52.5" customHeight="1" x14ac:dyDescent="0.2">
      <c r="A9" s="6" t="s">
        <v>10</v>
      </c>
      <c r="B9" s="7" t="s">
        <v>6</v>
      </c>
      <c r="C9" s="51" t="s">
        <v>11</v>
      </c>
      <c r="D9" s="47">
        <v>401</v>
      </c>
      <c r="E9" s="7">
        <v>100</v>
      </c>
      <c r="F9" s="42" t="s">
        <v>193</v>
      </c>
      <c r="G9" s="42" t="s">
        <v>104</v>
      </c>
    </row>
    <row r="10" spans="1:7" ht="165.75" customHeight="1" x14ac:dyDescent="0.2">
      <c r="A10" s="6" t="s">
        <v>12</v>
      </c>
      <c r="B10" s="7" t="s">
        <v>13</v>
      </c>
      <c r="C10" s="51">
        <v>5</v>
      </c>
      <c r="D10" s="47">
        <v>0</v>
      </c>
      <c r="E10" s="95">
        <v>0</v>
      </c>
      <c r="F10" s="42" t="s">
        <v>184</v>
      </c>
      <c r="G10" s="42" t="s">
        <v>105</v>
      </c>
    </row>
    <row r="11" spans="1:7" ht="95.25" customHeight="1" x14ac:dyDescent="0.2">
      <c r="A11" s="6" t="s">
        <v>14</v>
      </c>
      <c r="B11" s="7" t="s">
        <v>13</v>
      </c>
      <c r="C11" s="51">
        <v>3</v>
      </c>
      <c r="D11" s="47">
        <v>0</v>
      </c>
      <c r="E11" s="45">
        <v>0</v>
      </c>
      <c r="F11" s="42" t="s">
        <v>184</v>
      </c>
      <c r="G11" s="43" t="s">
        <v>101</v>
      </c>
    </row>
    <row r="12" spans="1:7" ht="18.75" x14ac:dyDescent="0.2">
      <c r="A12" s="118" t="s">
        <v>15</v>
      </c>
      <c r="B12" s="118"/>
      <c r="C12" s="118"/>
      <c r="D12" s="118"/>
      <c r="E12" s="118"/>
      <c r="F12" s="118"/>
      <c r="G12" s="118"/>
    </row>
    <row r="13" spans="1:7" ht="266.25" customHeight="1" x14ac:dyDescent="0.2">
      <c r="A13" s="6" t="s">
        <v>16</v>
      </c>
      <c r="B13" s="7" t="s">
        <v>17</v>
      </c>
      <c r="C13" s="51">
        <v>90</v>
      </c>
      <c r="D13" s="47" t="s">
        <v>192</v>
      </c>
      <c r="E13" s="45">
        <f>22.22*100/C13</f>
        <v>24.68888888888889</v>
      </c>
      <c r="F13" s="42" t="s">
        <v>193</v>
      </c>
      <c r="G13" s="101" t="s">
        <v>102</v>
      </c>
    </row>
    <row r="14" spans="1:7" ht="273" customHeight="1" x14ac:dyDescent="0.2">
      <c r="A14" s="6" t="s">
        <v>18</v>
      </c>
      <c r="B14" s="7" t="s">
        <v>17</v>
      </c>
      <c r="C14" s="51">
        <v>90</v>
      </c>
      <c r="D14" s="47">
        <v>16.670000000000002</v>
      </c>
      <c r="E14" s="45">
        <f>D14*100/C14</f>
        <v>18.522222222222226</v>
      </c>
      <c r="F14" s="42" t="s">
        <v>193</v>
      </c>
      <c r="G14" s="101" t="s">
        <v>106</v>
      </c>
    </row>
    <row r="15" spans="1:7" ht="189" x14ac:dyDescent="0.2">
      <c r="A15" s="6" t="s">
        <v>84</v>
      </c>
      <c r="B15" s="7" t="s">
        <v>17</v>
      </c>
      <c r="C15" s="51">
        <v>90</v>
      </c>
      <c r="D15" s="47">
        <v>48.57</v>
      </c>
      <c r="E15" s="99">
        <f>D15*100/C15</f>
        <v>53.966666666666669</v>
      </c>
      <c r="F15" s="42" t="s">
        <v>189</v>
      </c>
      <c r="G15" s="42" t="s">
        <v>107</v>
      </c>
    </row>
    <row r="16" spans="1:7" ht="24" customHeight="1" x14ac:dyDescent="0.2">
      <c r="A16" s="121" t="s">
        <v>19</v>
      </c>
      <c r="B16" s="121"/>
      <c r="C16" s="121"/>
      <c r="D16" s="121"/>
      <c r="E16" s="121"/>
      <c r="F16" s="121"/>
      <c r="G16" s="121"/>
    </row>
    <row r="17" spans="1:7" ht="24" customHeight="1" x14ac:dyDescent="0.2">
      <c r="A17" s="118" t="s">
        <v>20</v>
      </c>
      <c r="B17" s="118"/>
      <c r="C17" s="118"/>
      <c r="D17" s="118"/>
      <c r="E17" s="118"/>
      <c r="F17" s="118"/>
      <c r="G17" s="118"/>
    </row>
    <row r="18" spans="1:7" ht="49.5" customHeight="1" x14ac:dyDescent="0.2">
      <c r="A18" s="6" t="s">
        <v>21</v>
      </c>
      <c r="B18" s="7" t="s">
        <v>22</v>
      </c>
      <c r="C18" s="51">
        <v>130</v>
      </c>
      <c r="D18" s="47" t="s">
        <v>91</v>
      </c>
      <c r="E18" s="47" t="s">
        <v>91</v>
      </c>
      <c r="F18" s="42" t="s">
        <v>195</v>
      </c>
      <c r="G18" s="43" t="s">
        <v>108</v>
      </c>
    </row>
    <row r="19" spans="1:7" ht="67.5" customHeight="1" x14ac:dyDescent="0.2">
      <c r="A19" s="6" t="s">
        <v>23</v>
      </c>
      <c r="B19" s="7" t="s">
        <v>17</v>
      </c>
      <c r="C19" s="51">
        <v>80</v>
      </c>
      <c r="D19" s="45">
        <v>0</v>
      </c>
      <c r="E19" s="45">
        <f t="shared" ref="E19:E26" si="0">IF((D19*100)/C19&gt;=100,100,(D19*100)/C19)</f>
        <v>0</v>
      </c>
      <c r="F19" s="42" t="s">
        <v>184</v>
      </c>
      <c r="G19" s="43" t="s">
        <v>109</v>
      </c>
    </row>
    <row r="20" spans="1:7" ht="60.75" customHeight="1" x14ac:dyDescent="0.2">
      <c r="A20" s="6" t="s">
        <v>24</v>
      </c>
      <c r="B20" s="7" t="s">
        <v>17</v>
      </c>
      <c r="C20" s="51">
        <v>80</v>
      </c>
      <c r="D20" s="47">
        <v>74.290000000000006</v>
      </c>
      <c r="E20" s="45">
        <f t="shared" si="0"/>
        <v>92.862500000000011</v>
      </c>
      <c r="F20" s="42" t="s">
        <v>188</v>
      </c>
      <c r="G20" s="43" t="s">
        <v>110</v>
      </c>
    </row>
    <row r="21" spans="1:7" ht="51.75" customHeight="1" x14ac:dyDescent="0.2">
      <c r="A21" s="6" t="s">
        <v>25</v>
      </c>
      <c r="B21" s="7" t="s">
        <v>26</v>
      </c>
      <c r="C21" s="51">
        <v>4.4000000000000004</v>
      </c>
      <c r="D21" s="47" t="s">
        <v>91</v>
      </c>
      <c r="E21" s="47" t="s">
        <v>91</v>
      </c>
      <c r="F21" s="42" t="s">
        <v>189</v>
      </c>
      <c r="G21" s="43" t="s">
        <v>111</v>
      </c>
    </row>
    <row r="22" spans="1:7" ht="62.25" customHeight="1" x14ac:dyDescent="0.2">
      <c r="A22" s="6" t="s">
        <v>27</v>
      </c>
      <c r="B22" s="7" t="s">
        <v>28</v>
      </c>
      <c r="C22" s="52">
        <v>15000</v>
      </c>
      <c r="D22" s="48">
        <v>15840</v>
      </c>
      <c r="E22" s="45">
        <f t="shared" si="0"/>
        <v>100</v>
      </c>
      <c r="F22" s="42" t="s">
        <v>193</v>
      </c>
      <c r="G22" s="43" t="s">
        <v>112</v>
      </c>
    </row>
    <row r="23" spans="1:7" ht="84.75" customHeight="1" x14ac:dyDescent="0.2">
      <c r="A23" s="6" t="s">
        <v>29</v>
      </c>
      <c r="B23" s="7" t="s">
        <v>26</v>
      </c>
      <c r="C23" s="51">
        <v>3</v>
      </c>
      <c r="D23" s="47" t="s">
        <v>91</v>
      </c>
      <c r="E23" s="47" t="s">
        <v>91</v>
      </c>
      <c r="F23" s="42" t="s">
        <v>191</v>
      </c>
      <c r="G23" s="43" t="s">
        <v>113</v>
      </c>
    </row>
    <row r="24" spans="1:7" ht="107.25" customHeight="1" x14ac:dyDescent="0.2">
      <c r="A24" s="6" t="s">
        <v>30</v>
      </c>
      <c r="B24" s="7" t="s">
        <v>31</v>
      </c>
      <c r="C24" s="51">
        <v>2</v>
      </c>
      <c r="D24" s="47">
        <v>2</v>
      </c>
      <c r="E24" s="45">
        <f t="shared" si="0"/>
        <v>100</v>
      </c>
      <c r="F24" s="80" t="s">
        <v>182</v>
      </c>
      <c r="G24" s="42" t="s">
        <v>114</v>
      </c>
    </row>
    <row r="25" spans="1:7" ht="320.25" customHeight="1" x14ac:dyDescent="0.2">
      <c r="A25" s="6" t="s">
        <v>32</v>
      </c>
      <c r="B25" s="7" t="s">
        <v>33</v>
      </c>
      <c r="C25" s="51">
        <v>5</v>
      </c>
      <c r="D25" s="47">
        <v>12</v>
      </c>
      <c r="E25" s="45">
        <f t="shared" si="0"/>
        <v>100</v>
      </c>
      <c r="F25" s="96" t="s">
        <v>166</v>
      </c>
      <c r="G25" s="42" t="s">
        <v>115</v>
      </c>
    </row>
    <row r="26" spans="1:7" ht="140.25" customHeight="1" x14ac:dyDescent="0.2">
      <c r="A26" s="6" t="s">
        <v>34</v>
      </c>
      <c r="B26" s="7" t="s">
        <v>17</v>
      </c>
      <c r="C26" s="51">
        <v>90</v>
      </c>
      <c r="D26" s="47">
        <v>100</v>
      </c>
      <c r="E26" s="45">
        <f t="shared" si="0"/>
        <v>100</v>
      </c>
      <c r="F26" s="80" t="s">
        <v>181</v>
      </c>
      <c r="G26" s="42" t="s">
        <v>116</v>
      </c>
    </row>
    <row r="27" spans="1:7" ht="24" customHeight="1" x14ac:dyDescent="0.2">
      <c r="A27" s="118" t="s">
        <v>35</v>
      </c>
      <c r="B27" s="118"/>
      <c r="C27" s="118"/>
      <c r="D27" s="118"/>
      <c r="E27" s="118"/>
      <c r="F27" s="118"/>
      <c r="G27" s="118"/>
    </row>
    <row r="28" spans="1:7" ht="86.25" customHeight="1" x14ac:dyDescent="0.2">
      <c r="A28" s="6" t="s">
        <v>36</v>
      </c>
      <c r="B28" s="7" t="s">
        <v>28</v>
      </c>
      <c r="C28" s="52">
        <v>5167959</v>
      </c>
      <c r="D28" s="48">
        <v>9088219</v>
      </c>
      <c r="E28" s="45">
        <f>IF((D28*100)/C28&gt;=100,100,(D28*100)/C28)</f>
        <v>100</v>
      </c>
      <c r="F28" s="50" t="s">
        <v>160</v>
      </c>
      <c r="G28" s="43" t="s">
        <v>117</v>
      </c>
    </row>
    <row r="29" spans="1:7" ht="120" customHeight="1" x14ac:dyDescent="0.2">
      <c r="A29" s="6" t="s">
        <v>37</v>
      </c>
      <c r="B29" s="7" t="s">
        <v>17</v>
      </c>
      <c r="C29" s="51">
        <v>70</v>
      </c>
      <c r="D29" s="47">
        <v>60</v>
      </c>
      <c r="E29" s="45">
        <f t="shared" ref="E29:E42" si="1">IF((D29*100)/C29&gt;=100,100,(D29*100)/C29)</f>
        <v>85.714285714285708</v>
      </c>
      <c r="F29" s="50" t="s">
        <v>156</v>
      </c>
      <c r="G29" s="1" t="s">
        <v>118</v>
      </c>
    </row>
    <row r="30" spans="1:7" ht="373.5" customHeight="1" x14ac:dyDescent="0.2">
      <c r="A30" s="6" t="s">
        <v>38</v>
      </c>
      <c r="B30" s="7" t="s">
        <v>39</v>
      </c>
      <c r="C30" s="51">
        <v>3</v>
      </c>
      <c r="D30" s="47">
        <v>8</v>
      </c>
      <c r="E30" s="45">
        <f t="shared" si="1"/>
        <v>100</v>
      </c>
      <c r="F30" s="100" t="s">
        <v>155</v>
      </c>
      <c r="G30" s="1" t="s">
        <v>119</v>
      </c>
    </row>
    <row r="31" spans="1:7" ht="100.5" customHeight="1" x14ac:dyDescent="0.2">
      <c r="A31" s="6" t="s">
        <v>40</v>
      </c>
      <c r="B31" s="7" t="s">
        <v>17</v>
      </c>
      <c r="C31" s="51">
        <v>50</v>
      </c>
      <c r="D31" s="47">
        <v>106.25</v>
      </c>
      <c r="E31" s="45">
        <f t="shared" si="1"/>
        <v>100</v>
      </c>
      <c r="F31" s="77" t="s">
        <v>161</v>
      </c>
      <c r="G31" s="1" t="s">
        <v>120</v>
      </c>
    </row>
    <row r="32" spans="1:7" ht="93.75" x14ac:dyDescent="0.2">
      <c r="A32" s="6" t="s">
        <v>41</v>
      </c>
      <c r="B32" s="7" t="s">
        <v>17</v>
      </c>
      <c r="C32" s="51">
        <v>110</v>
      </c>
      <c r="D32" s="49">
        <v>1112.5</v>
      </c>
      <c r="E32" s="45">
        <f t="shared" si="1"/>
        <v>100</v>
      </c>
      <c r="F32" s="50" t="s">
        <v>157</v>
      </c>
      <c r="G32" s="1" t="s">
        <v>121</v>
      </c>
    </row>
    <row r="33" spans="1:7" ht="81.75" customHeight="1" x14ac:dyDescent="0.2">
      <c r="A33" s="6" t="s">
        <v>42</v>
      </c>
      <c r="B33" s="7" t="s">
        <v>43</v>
      </c>
      <c r="C33" s="51">
        <v>2</v>
      </c>
      <c r="D33" s="47">
        <v>1</v>
      </c>
      <c r="E33" s="45">
        <f t="shared" si="1"/>
        <v>50</v>
      </c>
      <c r="F33" s="50" t="s">
        <v>158</v>
      </c>
      <c r="G33" s="1" t="s">
        <v>122</v>
      </c>
    </row>
    <row r="34" spans="1:7" ht="83.25" customHeight="1" x14ac:dyDescent="0.2">
      <c r="A34" s="6" t="s">
        <v>44</v>
      </c>
      <c r="B34" s="7" t="s">
        <v>17</v>
      </c>
      <c r="C34" s="51">
        <v>60</v>
      </c>
      <c r="D34" s="47">
        <v>18.75</v>
      </c>
      <c r="E34" s="45">
        <f t="shared" si="1"/>
        <v>31.25</v>
      </c>
      <c r="F34" s="50" t="s">
        <v>162</v>
      </c>
      <c r="G34" s="1" t="s">
        <v>123</v>
      </c>
    </row>
    <row r="35" spans="1:7" ht="108.75" customHeight="1" x14ac:dyDescent="0.2">
      <c r="A35" s="6" t="s">
        <v>45</v>
      </c>
      <c r="B35" s="7" t="s">
        <v>46</v>
      </c>
      <c r="C35" s="51">
        <v>10</v>
      </c>
      <c r="D35" s="47">
        <v>15</v>
      </c>
      <c r="E35" s="45">
        <f t="shared" si="1"/>
        <v>100</v>
      </c>
      <c r="F35" s="50" t="s">
        <v>159</v>
      </c>
      <c r="G35" s="42" t="s">
        <v>124</v>
      </c>
    </row>
    <row r="36" spans="1:7" ht="21.75" customHeight="1" x14ac:dyDescent="0.2">
      <c r="A36" s="118" t="s">
        <v>47</v>
      </c>
      <c r="B36" s="118"/>
      <c r="C36" s="118"/>
      <c r="D36" s="118"/>
      <c r="E36" s="118"/>
      <c r="F36" s="118"/>
      <c r="G36" s="118"/>
    </row>
    <row r="37" spans="1:7" ht="50.25" customHeight="1" x14ac:dyDescent="0.2">
      <c r="A37" s="6" t="s">
        <v>48</v>
      </c>
      <c r="B37" s="7" t="s">
        <v>28</v>
      </c>
      <c r="C37" s="52">
        <v>745000</v>
      </c>
      <c r="D37" s="52">
        <v>745000</v>
      </c>
      <c r="E37" s="45">
        <f t="shared" si="1"/>
        <v>100</v>
      </c>
      <c r="F37" s="80" t="s">
        <v>183</v>
      </c>
      <c r="G37" s="43" t="s">
        <v>125</v>
      </c>
    </row>
    <row r="38" spans="1:7" ht="75" x14ac:dyDescent="0.2">
      <c r="A38" s="6" t="s">
        <v>49</v>
      </c>
      <c r="B38" s="7" t="s">
        <v>26</v>
      </c>
      <c r="C38" s="51">
        <v>4</v>
      </c>
      <c r="D38" s="47" t="s">
        <v>91</v>
      </c>
      <c r="E38" s="47" t="s">
        <v>91</v>
      </c>
      <c r="F38" s="81" t="s">
        <v>172</v>
      </c>
      <c r="G38" s="42" t="s">
        <v>126</v>
      </c>
    </row>
    <row r="39" spans="1:7" ht="92.25" customHeight="1" x14ac:dyDescent="0.2">
      <c r="A39" s="6" t="s">
        <v>50</v>
      </c>
      <c r="B39" s="7" t="s">
        <v>13</v>
      </c>
      <c r="C39" s="51">
        <v>5</v>
      </c>
      <c r="D39" s="47" t="s">
        <v>91</v>
      </c>
      <c r="E39" s="47" t="s">
        <v>91</v>
      </c>
      <c r="F39" s="81" t="s">
        <v>173</v>
      </c>
      <c r="G39" s="42" t="s">
        <v>127</v>
      </c>
    </row>
    <row r="40" spans="1:7" ht="18.75" x14ac:dyDescent="0.2">
      <c r="A40" s="118" t="s">
        <v>51</v>
      </c>
      <c r="B40" s="118"/>
      <c r="C40" s="118"/>
      <c r="D40" s="118"/>
      <c r="E40" s="118"/>
      <c r="F40" s="118"/>
      <c r="G40" s="118"/>
    </row>
    <row r="41" spans="1:7" ht="68.25" customHeight="1" x14ac:dyDescent="0.2">
      <c r="A41" s="6" t="s">
        <v>52</v>
      </c>
      <c r="B41" s="7" t="s">
        <v>17</v>
      </c>
      <c r="C41" s="51">
        <v>80</v>
      </c>
      <c r="D41" s="47" t="s">
        <v>91</v>
      </c>
      <c r="E41" s="47" t="s">
        <v>91</v>
      </c>
      <c r="F41" s="82" t="s">
        <v>184</v>
      </c>
      <c r="G41" s="43" t="s">
        <v>128</v>
      </c>
    </row>
    <row r="42" spans="1:7" ht="123.75" customHeight="1" x14ac:dyDescent="0.2">
      <c r="A42" s="6" t="s">
        <v>53</v>
      </c>
      <c r="B42" s="7" t="s">
        <v>46</v>
      </c>
      <c r="C42" s="51">
        <v>5</v>
      </c>
      <c r="D42" s="47">
        <v>0</v>
      </c>
      <c r="E42" s="45">
        <f t="shared" si="1"/>
        <v>0</v>
      </c>
      <c r="F42" s="82" t="s">
        <v>174</v>
      </c>
      <c r="G42" s="42" t="s">
        <v>129</v>
      </c>
    </row>
    <row r="43" spans="1:7" ht="21.75" customHeight="1" x14ac:dyDescent="0.2">
      <c r="A43" s="122" t="s">
        <v>54</v>
      </c>
      <c r="B43" s="122"/>
      <c r="C43" s="122"/>
      <c r="D43" s="122"/>
      <c r="E43" s="122"/>
      <c r="F43" s="122"/>
      <c r="G43" s="122"/>
    </row>
    <row r="44" spans="1:7" ht="21.75" customHeight="1" x14ac:dyDescent="0.2">
      <c r="A44" s="118" t="s">
        <v>55</v>
      </c>
      <c r="B44" s="118"/>
      <c r="C44" s="118"/>
      <c r="D44" s="118"/>
      <c r="E44" s="118"/>
      <c r="F44" s="118"/>
      <c r="G44" s="118"/>
    </row>
    <row r="45" spans="1:7" ht="63.75" customHeight="1" x14ac:dyDescent="0.2">
      <c r="A45" s="6" t="s">
        <v>56</v>
      </c>
      <c r="B45" s="12" t="s">
        <v>22</v>
      </c>
      <c r="C45" s="51">
        <v>2</v>
      </c>
      <c r="D45" s="47">
        <v>1</v>
      </c>
      <c r="E45" s="45">
        <f t="shared" ref="E45:E51" si="2">IF((D45*100)/C45&gt;=100,100,(D45*100)/C45)</f>
        <v>50</v>
      </c>
      <c r="F45" s="82" t="s">
        <v>175</v>
      </c>
      <c r="G45" s="43" t="s">
        <v>130</v>
      </c>
    </row>
    <row r="46" spans="1:7" ht="210" customHeight="1" x14ac:dyDescent="0.2">
      <c r="A46" s="6" t="s">
        <v>57</v>
      </c>
      <c r="B46" s="12" t="s">
        <v>22</v>
      </c>
      <c r="C46" s="51">
        <v>4</v>
      </c>
      <c r="D46" s="47">
        <v>2</v>
      </c>
      <c r="E46" s="45">
        <f t="shared" si="2"/>
        <v>50</v>
      </c>
      <c r="F46" s="78" t="s">
        <v>165</v>
      </c>
      <c r="G46" s="1" t="s">
        <v>131</v>
      </c>
    </row>
    <row r="47" spans="1:7" ht="214.5" customHeight="1" x14ac:dyDescent="0.2">
      <c r="A47" s="55"/>
      <c r="B47" s="60"/>
      <c r="C47" s="61"/>
      <c r="D47" s="62"/>
      <c r="E47" s="63"/>
      <c r="F47" s="97" t="s">
        <v>164</v>
      </c>
      <c r="G47" s="98"/>
    </row>
    <row r="48" spans="1:7" ht="120.75" customHeight="1" x14ac:dyDescent="0.2">
      <c r="A48" s="126" t="s">
        <v>58</v>
      </c>
      <c r="B48" s="56" t="s">
        <v>22</v>
      </c>
      <c r="C48" s="57">
        <v>30</v>
      </c>
      <c r="D48" s="58">
        <v>18</v>
      </c>
      <c r="E48" s="59">
        <f t="shared" si="2"/>
        <v>60</v>
      </c>
      <c r="F48" s="79" t="s">
        <v>167</v>
      </c>
      <c r="G48" s="69" t="s">
        <v>132</v>
      </c>
    </row>
    <row r="49" spans="1:7" ht="72.75" customHeight="1" x14ac:dyDescent="0.2">
      <c r="A49" s="127"/>
      <c r="B49" s="65"/>
      <c r="C49" s="66"/>
      <c r="D49" s="67"/>
      <c r="E49" s="68"/>
      <c r="F49" s="79" t="s">
        <v>170</v>
      </c>
      <c r="G49" s="70"/>
    </row>
    <row r="50" spans="1:7" ht="88.5" customHeight="1" x14ac:dyDescent="0.2">
      <c r="A50" s="55"/>
      <c r="B50" s="60"/>
      <c r="C50" s="61"/>
      <c r="D50" s="62"/>
      <c r="E50" s="63"/>
      <c r="F50" s="79" t="s">
        <v>171</v>
      </c>
      <c r="G50" s="98"/>
    </row>
    <row r="51" spans="1:7" ht="129.75" customHeight="1" x14ac:dyDescent="0.2">
      <c r="A51" s="54" t="s">
        <v>59</v>
      </c>
      <c r="B51" s="71" t="s">
        <v>46</v>
      </c>
      <c r="C51" s="57">
        <v>4</v>
      </c>
      <c r="D51" s="58">
        <v>2</v>
      </c>
      <c r="E51" s="59">
        <f t="shared" si="2"/>
        <v>50</v>
      </c>
      <c r="F51" s="78" t="s">
        <v>168</v>
      </c>
      <c r="G51" s="73" t="s">
        <v>133</v>
      </c>
    </row>
    <row r="52" spans="1:7" ht="114.75" customHeight="1" x14ac:dyDescent="0.2">
      <c r="A52" s="55"/>
      <c r="B52" s="72"/>
      <c r="C52" s="61"/>
      <c r="D52" s="62"/>
      <c r="E52" s="63"/>
      <c r="F52" s="78" t="s">
        <v>169</v>
      </c>
      <c r="G52" s="74"/>
    </row>
    <row r="53" spans="1:7" ht="112.5" customHeight="1" x14ac:dyDescent="0.2">
      <c r="A53" s="6" t="s">
        <v>60</v>
      </c>
      <c r="B53" s="7" t="s">
        <v>17</v>
      </c>
      <c r="C53" s="51">
        <v>55</v>
      </c>
      <c r="D53" s="47" t="s">
        <v>91</v>
      </c>
      <c r="E53" s="47" t="s">
        <v>91</v>
      </c>
      <c r="F53" s="82" t="s">
        <v>184</v>
      </c>
      <c r="G53" s="42" t="s">
        <v>134</v>
      </c>
    </row>
    <row r="54" spans="1:7" ht="21.75" customHeight="1" x14ac:dyDescent="0.2">
      <c r="A54" s="121" t="s">
        <v>61</v>
      </c>
      <c r="B54" s="121"/>
      <c r="C54" s="121"/>
      <c r="D54" s="121"/>
      <c r="E54" s="121"/>
      <c r="F54" s="121"/>
      <c r="G54" s="121"/>
    </row>
    <row r="55" spans="1:7" ht="21.75" customHeight="1" x14ac:dyDescent="0.2">
      <c r="A55" s="118" t="s">
        <v>62</v>
      </c>
      <c r="B55" s="118"/>
      <c r="C55" s="118"/>
      <c r="D55" s="118"/>
      <c r="E55" s="118"/>
      <c r="F55" s="118"/>
      <c r="G55" s="118"/>
    </row>
    <row r="56" spans="1:7" ht="99.75" customHeight="1" x14ac:dyDescent="0.2">
      <c r="A56" s="6" t="s">
        <v>63</v>
      </c>
      <c r="B56" s="7" t="s">
        <v>22</v>
      </c>
      <c r="C56" s="51">
        <v>4</v>
      </c>
      <c r="D56" s="47">
        <v>0</v>
      </c>
      <c r="E56" s="45">
        <f t="shared" ref="E56:E59" si="3">IF((D56*100)/C56&gt;=100,100,(D56*100)/C56)</f>
        <v>0</v>
      </c>
      <c r="F56" s="82" t="s">
        <v>184</v>
      </c>
      <c r="G56" s="43" t="s">
        <v>135</v>
      </c>
    </row>
    <row r="57" spans="1:7" ht="84.75" customHeight="1" x14ac:dyDescent="0.2">
      <c r="A57" s="126" t="s">
        <v>64</v>
      </c>
      <c r="B57" s="140" t="s">
        <v>65</v>
      </c>
      <c r="C57" s="131">
        <v>2</v>
      </c>
      <c r="D57" s="133">
        <v>2</v>
      </c>
      <c r="E57" s="135">
        <f t="shared" si="3"/>
        <v>100</v>
      </c>
      <c r="F57" s="82" t="s">
        <v>176</v>
      </c>
      <c r="G57" s="137" t="s">
        <v>136</v>
      </c>
    </row>
    <row r="58" spans="1:7" ht="114" customHeight="1" x14ac:dyDescent="0.2">
      <c r="A58" s="128"/>
      <c r="B58" s="141"/>
      <c r="C58" s="132"/>
      <c r="D58" s="134"/>
      <c r="E58" s="136"/>
      <c r="F58" s="82" t="s">
        <v>198</v>
      </c>
      <c r="G58" s="138"/>
    </row>
    <row r="59" spans="1:7" ht="153.75" customHeight="1" x14ac:dyDescent="0.2">
      <c r="A59" s="54" t="s">
        <v>66</v>
      </c>
      <c r="B59" s="71" t="s">
        <v>13</v>
      </c>
      <c r="C59" s="57">
        <v>5</v>
      </c>
      <c r="D59" s="75">
        <v>4</v>
      </c>
      <c r="E59" s="59">
        <f t="shared" si="3"/>
        <v>80</v>
      </c>
      <c r="F59" s="83" t="s">
        <v>177</v>
      </c>
      <c r="G59" s="137" t="s">
        <v>137</v>
      </c>
    </row>
    <row r="60" spans="1:7" ht="128.25" customHeight="1" x14ac:dyDescent="0.2">
      <c r="A60" s="64"/>
      <c r="B60" s="93"/>
      <c r="C60" s="66"/>
      <c r="D60" s="94"/>
      <c r="E60" s="68"/>
      <c r="F60" s="83" t="s">
        <v>196</v>
      </c>
      <c r="G60" s="139"/>
    </row>
    <row r="61" spans="1:7" ht="39.75" customHeight="1" x14ac:dyDescent="0.2">
      <c r="A61" s="64"/>
      <c r="B61" s="93"/>
      <c r="C61" s="66"/>
      <c r="D61" s="94"/>
      <c r="E61" s="68"/>
      <c r="F61" s="83" t="s">
        <v>178</v>
      </c>
      <c r="G61" s="139"/>
    </row>
    <row r="62" spans="1:7" ht="258" customHeight="1" x14ac:dyDescent="0.2">
      <c r="A62" s="55"/>
      <c r="B62" s="72"/>
      <c r="C62" s="61"/>
      <c r="D62" s="76"/>
      <c r="E62" s="63"/>
      <c r="F62" s="83" t="s">
        <v>197</v>
      </c>
      <c r="G62" s="74"/>
    </row>
    <row r="63" spans="1:7" ht="18.75" x14ac:dyDescent="0.2">
      <c r="A63" s="121" t="s">
        <v>67</v>
      </c>
      <c r="B63" s="121"/>
      <c r="C63" s="121"/>
      <c r="D63" s="121"/>
      <c r="E63" s="121"/>
      <c r="F63" s="121"/>
      <c r="G63" s="121"/>
    </row>
    <row r="64" spans="1:7" ht="18.75" x14ac:dyDescent="0.2">
      <c r="A64" s="118" t="s">
        <v>68</v>
      </c>
      <c r="B64" s="118"/>
      <c r="C64" s="118"/>
      <c r="D64" s="118"/>
      <c r="E64" s="118"/>
      <c r="F64" s="118"/>
      <c r="G64" s="118"/>
    </row>
    <row r="65" spans="1:7" ht="170.25" customHeight="1" x14ac:dyDescent="0.2">
      <c r="A65" s="6" t="s">
        <v>69</v>
      </c>
      <c r="B65" s="7" t="s">
        <v>13</v>
      </c>
      <c r="C65" s="51">
        <v>5</v>
      </c>
      <c r="D65" s="47" t="s">
        <v>91</v>
      </c>
      <c r="E65" s="47" t="s">
        <v>91</v>
      </c>
      <c r="F65" s="82" t="s">
        <v>179</v>
      </c>
      <c r="G65" s="102" t="s">
        <v>138</v>
      </c>
    </row>
    <row r="66" spans="1:7" ht="59.25" customHeight="1" x14ac:dyDescent="0.2">
      <c r="A66" s="6" t="s">
        <v>70</v>
      </c>
      <c r="B66" s="7" t="s">
        <v>17</v>
      </c>
      <c r="C66" s="51">
        <v>68.75</v>
      </c>
      <c r="D66" s="47">
        <v>80</v>
      </c>
      <c r="E66" s="45">
        <f t="shared" ref="E66" si="4">IF((D66*100)/C66&gt;=100,100,(D66*100)/C66)</f>
        <v>100</v>
      </c>
      <c r="F66" s="80" t="s">
        <v>180</v>
      </c>
      <c r="G66" s="42" t="s">
        <v>139</v>
      </c>
    </row>
    <row r="67" spans="1:7" ht="81.75" customHeight="1" x14ac:dyDescent="0.2">
      <c r="A67" s="6" t="s">
        <v>71</v>
      </c>
      <c r="B67" s="7" t="s">
        <v>17</v>
      </c>
      <c r="C67" s="51">
        <v>80</v>
      </c>
      <c r="D67" s="47" t="s">
        <v>91</v>
      </c>
      <c r="E67" s="47" t="s">
        <v>91</v>
      </c>
      <c r="F67" s="42" t="s">
        <v>189</v>
      </c>
      <c r="G67" s="42" t="s">
        <v>140</v>
      </c>
    </row>
    <row r="68" spans="1:7" ht="18.75" x14ac:dyDescent="0.2">
      <c r="A68" s="118" t="s">
        <v>72</v>
      </c>
      <c r="B68" s="118"/>
      <c r="C68" s="118"/>
      <c r="D68" s="118"/>
      <c r="E68" s="118"/>
      <c r="F68" s="118"/>
      <c r="G68" s="118"/>
    </row>
    <row r="69" spans="1:7" ht="76.5" customHeight="1" x14ac:dyDescent="0.2">
      <c r="A69" s="6" t="s">
        <v>73</v>
      </c>
      <c r="B69" s="7" t="s">
        <v>17</v>
      </c>
      <c r="C69" s="51">
        <v>95</v>
      </c>
      <c r="D69" s="47">
        <v>25.85</v>
      </c>
      <c r="E69" s="45">
        <f t="shared" ref="E69:E73" si="5">IF((D69*100)/C69&gt;=100,100,(D69*100)/C69)</f>
        <v>27.210526315789473</v>
      </c>
      <c r="F69" s="42" t="s">
        <v>187</v>
      </c>
      <c r="G69" s="42" t="s">
        <v>141</v>
      </c>
    </row>
    <row r="70" spans="1:7" ht="99.75" customHeight="1" x14ac:dyDescent="0.2">
      <c r="A70" s="6" t="s">
        <v>74</v>
      </c>
      <c r="B70" s="7" t="s">
        <v>28</v>
      </c>
      <c r="C70" s="87">
        <v>500000</v>
      </c>
      <c r="D70" s="86">
        <v>101154.52</v>
      </c>
      <c r="E70" s="45">
        <f t="shared" si="5"/>
        <v>20.230903999999999</v>
      </c>
      <c r="F70" s="42" t="s">
        <v>185</v>
      </c>
      <c r="G70" s="43" t="s">
        <v>142</v>
      </c>
    </row>
    <row r="71" spans="1:7" ht="67.5" customHeight="1" x14ac:dyDescent="0.2">
      <c r="A71" s="6" t="s">
        <v>75</v>
      </c>
      <c r="B71" s="7" t="s">
        <v>28</v>
      </c>
      <c r="C71" s="52">
        <v>25428081</v>
      </c>
      <c r="D71" s="85">
        <v>25453398.210000001</v>
      </c>
      <c r="E71" s="45">
        <f t="shared" si="5"/>
        <v>100</v>
      </c>
      <c r="F71" s="42" t="s">
        <v>186</v>
      </c>
      <c r="G71" s="42" t="s">
        <v>143</v>
      </c>
    </row>
    <row r="72" spans="1:7" ht="56.25" x14ac:dyDescent="0.2">
      <c r="A72" s="6" t="s">
        <v>76</v>
      </c>
      <c r="B72" s="7" t="s">
        <v>17</v>
      </c>
      <c r="C72" s="51" t="s">
        <v>77</v>
      </c>
      <c r="D72" s="47" t="s">
        <v>91</v>
      </c>
      <c r="E72" s="47" t="s">
        <v>91</v>
      </c>
      <c r="F72" s="42" t="s">
        <v>189</v>
      </c>
      <c r="G72" s="43" t="s">
        <v>144</v>
      </c>
    </row>
    <row r="73" spans="1:7" ht="97.5" customHeight="1" x14ac:dyDescent="0.2">
      <c r="A73" s="6" t="s">
        <v>78</v>
      </c>
      <c r="B73" s="7" t="s">
        <v>13</v>
      </c>
      <c r="C73" s="53">
        <v>5</v>
      </c>
      <c r="D73" s="47">
        <v>5</v>
      </c>
      <c r="E73" s="45">
        <f t="shared" si="5"/>
        <v>100</v>
      </c>
      <c r="F73" s="42" t="s">
        <v>190</v>
      </c>
      <c r="G73" s="42" t="s">
        <v>145</v>
      </c>
    </row>
    <row r="74" spans="1:7" s="90" customFormat="1" ht="22.5" customHeight="1" x14ac:dyDescent="0.35">
      <c r="A74" s="123" t="s">
        <v>194</v>
      </c>
      <c r="B74" s="124"/>
      <c r="C74" s="124"/>
      <c r="D74" s="125"/>
      <c r="E74" s="89">
        <f>AVERAGE(E7,E8,E9,E10,E11,E13,E14,E15,E19,E20,E22,E24,E25,E26,E28,E29,E30,E31,E32,E33,E34,E35,E37,E42,E45,E46,E48,E51,E56,E57,E59,E66,E69,E70,E71,E73)</f>
        <v>65.871363075859165</v>
      </c>
      <c r="F74" s="91"/>
    </row>
    <row r="75" spans="1:7" s="90" customFormat="1" ht="23.25" customHeight="1" x14ac:dyDescent="0.35">
      <c r="A75" s="123" t="s">
        <v>97</v>
      </c>
      <c r="B75" s="124"/>
      <c r="C75" s="124"/>
      <c r="D75" s="125"/>
      <c r="E75" s="89">
        <f>E74*5/100</f>
        <v>3.2935681537929584</v>
      </c>
      <c r="F75" s="92"/>
    </row>
  </sheetData>
  <mergeCells count="27">
    <mergeCell ref="A55:G55"/>
    <mergeCell ref="A63:G63"/>
    <mergeCell ref="A64:G64"/>
    <mergeCell ref="A68:G68"/>
    <mergeCell ref="G59:G61"/>
    <mergeCell ref="A57:A58"/>
    <mergeCell ref="B57:B58"/>
    <mergeCell ref="C57:C58"/>
    <mergeCell ref="D57:D58"/>
    <mergeCell ref="E57:E58"/>
    <mergeCell ref="G57:G58"/>
    <mergeCell ref="A74:D74"/>
    <mergeCell ref="A75:D75"/>
    <mergeCell ref="A48:A49"/>
    <mergeCell ref="A44:G44"/>
    <mergeCell ref="A2:G2"/>
    <mergeCell ref="A3:G3"/>
    <mergeCell ref="A5:G5"/>
    <mergeCell ref="A6:G6"/>
    <mergeCell ref="A12:G12"/>
    <mergeCell ref="A16:G16"/>
    <mergeCell ref="A17:G17"/>
    <mergeCell ref="A27:G27"/>
    <mergeCell ref="A36:G36"/>
    <mergeCell ref="A40:G40"/>
    <mergeCell ref="A43:G43"/>
    <mergeCell ref="A54:G54"/>
  </mergeCells>
  <hyperlinks>
    <hyperlink ref="F32" r:id="rId1" display="ในปีงบประมาณ 2569 คณะฯ มีผลการดำเนินงานด้านบทความวิจัยที่ได้รับการอ้างอิง (Citation) ใน Refereed journal หรือในฐานข้อมูลระดับนานาชาติ จำนวน 178 เรื่อง (ข้อมูลวันที่ 27 มีนาคม 2569) ต่ออาจารย์ประจำที่ปฏิบัติงานจริงและลาศึกษาต่อ จำนวน 16 คน คิดเป็นร้อยละ 1,112.50" xr:uid="{CCF348E3-C705-41B5-856F-EE501A8CB7FA}"/>
    <hyperlink ref="F28" r:id="rId2" display="ในปีงบประมาณ 2569 คณะฯ มีเงินสนับสนุนงานวิจัย จำนวน 9,088,219 บาท โดยแบ่งออกเป็นแหล่งทุนงานวิจัยภายใน จำนวน 2,034,440 บาท และเป็นทุนงานวิจัยจากภายนอก จำนวน 7,053,779 บาท ต่ออาจารย์ประจำที่ปฏิบัติงานจริง จำนวน 15 คน ดังนั้น จึงคิดเป็นจำนวน 605,881.27 บาท ต่อคน" xr:uid="{D1616EC3-F8A6-47AC-B090-9A5FB87E89B1}"/>
    <hyperlink ref="F29" r:id="rId3" display="https://erp.mju.ac.th/openFile.aspx?id=Nzc3MTMw&amp;method=inline" xr:uid="{E7559FA5-6860-4FE6-94A1-88983E2DDAA4}"/>
    <hyperlink ref="F30" r:id="rId4" display="https://erp.mju.ac.th/openFile.aspx?id=Nzc3MTMy&amp;method=inline" xr:uid="{C17FEF9F-5592-4523-8FDF-E55C859F1DE8}"/>
    <hyperlink ref="F33" r:id="rId5" display="https://erp.mju.ac.th/openFile.aspx?id=Nzc3MTM1&amp;method=inline" xr:uid="{FA1F5AD6-D502-4765-A3B2-0764364C3B32}"/>
    <hyperlink ref="F35" r:id="rId6" xr:uid="{DEC76C33-8B9B-48D1-8CFC-5CC984A9000F}"/>
    <hyperlink ref="F31" r:id="rId7" display="https://erp.mju.ac.th/openFile.aspx?id=Nzc3MTM0&amp;method=inline" xr:uid="{B67D97D2-F92E-436C-8A89-DB3C493AFBCA}"/>
    <hyperlink ref="F34" r:id="rId8" xr:uid="{AC11EC95-E725-491C-9A83-A9CE32A436C0}"/>
    <hyperlink ref="F46" r:id="rId9" display="วันที่ 24 – 28 พฤศจิกายน 2568 รศ.ดร.อภินันท์ สุวรรณรักษ์ ได้เข้าร่วมงานประชุมวิชาการ “2025 Southeast Asia Biodiversity Workshop; Conservation, Restoration, and Sustainable Use of Biodiversity in Southeast Asia,” พร้อมทั้งนำเสนอผลงานทางวิชาการ เรื่อง Alien Fish Species and the Sustainability of Freshwater Fisheries in Thailand ณ XTBG in Menglun Town, Mengla County, Xishuangbanna, Yunnan Province, China นอกจากนี้ ยังได้รับเชิญเป็นวิทยากรบรรยายพิเศษ เรื่อง Chinese Academy of Science Freshwater Fish of Thailand: Biodiversity • Ecology • Conservation • Human Livelihoods ให้กับนักศึกษาระดับบัณฑิตศึกษา ณ Kunming Institute of Zoology, University of Academy Chinese of Science สาธารณรัฐประชาชนจีน" xr:uid="{DA82A681-A673-45C3-808A-97640C2EEDB3}"/>
    <hyperlink ref="F47" r:id="rId10" display="เมื่อวันที่ 10 – 13 มีนาคม 2569 อาจารย์ ดร.โดม อดุลย์สุข รองคณบดีฝ่ายพัฒนานักศึกษาและกิจการพิเศษ ได้เข้าร่วมการประชุมเชิงปฏิบัติการ Follow-up ASEAN IVO Project Meeting and Workshop เรื่อง “AI-Powered Smart Automation with CODESYS &amp; Web HMI for Smart Farming” ภายใต้โครงการ AI-Driven Smart Horticulture for Climate Sensitive Plant using Soil Analysis and Image Processing : A Tropical Perspective พร้อมทั้งร่วมบรรยายและนำเสนอผลงานด้าน Smart Farm และการประยุกต์ใช้ AI ในงานด้านการประมง รวมถึงฝึกอบรมเชิงปฏิบัติการในหัวข้อ AI, Image Processing และการเขียนโปรแกรม PLC/PAC ด้วย CODESYS ให้แก่อาจารย์ นักวิจัย และนักศึกษา ณ Faculty of Engineering, National University of Laos นครหลวงเวียงจันทร์ สาธารณรัฐประชาธิปไตยประชาชนลาว " xr:uid="{4EE2F315-2E8D-4CBF-A2EE-4478904275B9}"/>
    <hyperlink ref="F25" r:id="rId11" display="https://erp.mju.ac.th/openFile.aspx?id=NzgwMjUz&amp;method=inline" xr:uid="{336B75C2-0455-44E0-BC22-27B8050C9077}"/>
    <hyperlink ref="F48" r:id="rId12" display="นายสุชน สมคิด นักศึกษาระดับปริญญาโท เข้าร่วมฝึกอบรมหลักสูตรระยะสั้นในหัวข้อ “Agricultural Productivity and Sustainability” ภายใต้โครงการความร่วมมือของ Southeast Asian Regional Center for Graduate Study and Research in Agriculture (SEARCA) และ the University Consortium (UC) ณ Central Luzon State University, Philippines ในระหว่างวันที่ 16 – 30 พฤศจิกายน 2568" xr:uid="{F74626A9-555B-40C4-A8FB-F4C3C10DCAA0}"/>
    <hyperlink ref="F51" r:id="rId13" display="รศ.ดร.อภินันท์ สุวรรณรักษ์ ได้รับเชิญเป็นวิทยากรบรรยายพิเศษ เรื่อง Chinese Academy of Science Freshwater Fish of Thailand: Biodiversity • Ecology • Conservation • Human Livelihoods ให้กับนักศึกษาระดับบัณฑิตศึกษา เมื่อวันที่ 28 พ.ย. 68 ณ Kunming Institute of Zoology, University of Academy Chinese of Science สาธารณรัฐประชาชนจีน พร้อมทั้งหารือความร่วมมือทางวิชาการเพื่อการแลกเปลี่ยนทั้งบุคลากรและนักศึกษา รวมถึงความร่วมมืองานวิจัยทางการประมงในประเทศพม่าอีกด้วย" xr:uid="{E64FFE8D-F07D-4D91-9C1F-E11208A4901F}"/>
    <hyperlink ref="F52" r:id="rId14" display="อ.ดร.โดม อดุลย์สุข ได้รับเชิญเป็นวิทยากรบรรยายและนำเสนอผลงานด้าน Smart Farm และการประยุกต์ใช้ AI ในงานด้านการประมง รวมถึงฝึกอบรมเชิงปฏิบัติการในหัวข้อ AI, Image Processing และการเขียนโปรแกรม PLC/PAC ด้วย CODESYS ให้แก่อาจารย์ นักวิจัย และนักศึกษา เมื่อวันที่ 10-12 มี.ค. 69 ณ Faculty of Engineering, National University of Laos นครหลวงเวียงจันทร์ สาธารณรัฐประชาธิปไตยประชาชนลาว" xr:uid="{CAA9EE17-B905-431A-A8A1-1928945ED441}"/>
    <hyperlink ref="F49" r:id="rId15" location="2" xr:uid="{90077209-B96D-4F5D-9A87-9CF7C30A9763}"/>
    <hyperlink ref="F50" r:id="rId16" display="คณะเทคโนโลยีการประมงและทรัพยากรทางน้ำ ให้การต้อนรับนักวิชาการและเจ้าหน้าที่ของมูลนิธิเอคโค่ ประเทศไทย จังหวัดเชียงใหม่ จำนวน 16 คน เพื่อเข้าศึกษาดูงาน ในหัวข้อ “การเลี้ยงปลาทับทิมแบบครบวงจร” โดยมีคณาจารย์ของคณะให้การต้อนรับ และร่วมเป็นวิทยากร เมื่อวันที่ 24 ต.ค. 68" xr:uid="{E2F30BFD-9739-4699-9CF2-AA9CF70CBB83}"/>
    <hyperlink ref="F59" r:id="rId17" display="A. คณะมีนโยบายส่งเสริมด้านการพัฒนาเทคโนโลยีและนวัตกรรมเพื่อเร่งพัฒนาผู้ประกอบการ ตามแผนแผนพัฒนาการศึกษาคณะเทคโนโลยีการประมงและทรัพยากรทางน้ำฉบับที่ 13 (พ.ศ.2566 - 2570) และแผนปฏิบัติการประจำปี พ.ศ. 2569 ในประเด็นยุทธศาสตร์ที่ 4 การขับเคลื่อนสู่การเป็นมหาวิทยาลัยด้านการพัฒนาเทคโนโลยีและส่งเสริมการสร้างนวัตกรรม (Technology Development and Innovation University)  เป้าประสงค์ที่ 4.1 เป็นมหาวิทยาลัยด้านการพัฒนาเทคโนโลยีและส่งเสริมการสร้างวัตกรรม (Technology Development and Innovation)" xr:uid="{09EF54AA-9155-47ED-98AE-C7BEB795CE1A}"/>
    <hyperlink ref="F61" r:id="rId18" xr:uid="{4FAE2613-C6B7-4E63-B075-3DCEF2A06A07}"/>
    <hyperlink ref="F26" r:id="rId19" xr:uid="{E3F3145D-3689-4D9E-8527-79DD5D480F5B}"/>
    <hyperlink ref="F24" r:id="rId20" display="https://erp.mju.ac.th/openFile.aspx?id=NzgxMzg2&amp;method=inline" xr:uid="{AB3921BD-270D-443D-88DA-5844E38A7650}"/>
    <hyperlink ref="F37" r:id="rId21" xr:uid="{62473F86-44D8-4895-ADAF-256A40E5F6D6}"/>
    <hyperlink ref="F66" r:id="rId22" xr:uid="{AB665185-F072-47E2-9212-17A610690ADF}"/>
    <hyperlink ref="F60" r:id="rId23" display="B. คณะมีเครือข่ายผู้ประกอบการด้านเทคโนโลยีและนวัตกรรม เพื่อเร่งพัฒนาผู้ประกอบการ ทั้งความร่วมมือจากหน่วยงานภายใน ได้แก่ อาคารแปรรูปนวัตกรรมการแปรรูปผลิตภัณฑ์ประมง (Nexfish Factory) ศูนย์ความเป็นเลิศด้านนวัตกรรมทางการเกษตรสำหรับบัณฑิตผู้ประกอบการ (Agri Inno) อุทยานวิทยาศาสตร์เทคโนโลยีเกษตรและอาหาร ม.แม่โจ้ (MAP) และภายนอกมหาวิทยาลัยแม่โจ้ ได้แก่ GO Wholesale (โก โฮลเซลล์) ศูนย์ค้าส่งอาหารเพื่อผู้ประกอบการ ภายใต้การดำเนินงานของ บริษัท เซ็นทรัล ฟู้ด โฮลเซลล์ จำกัด ในเครือเซ็นทรัล รีเทล" xr:uid="{88F8CC7D-A2E6-4BDB-975C-1AF740FB409E}"/>
    <hyperlink ref="F62" r:id="rId24" display="E. คณะมี Platform กลางด้านเทคโนโลยีและนวัตกรรม เพื่อเร่งพัฒนาผู้ประกอบการ  โดยรูปแบบหลักๆ จะเป็นการสนับสนุนให้นักศึกษาได้เรียนรู้และได้รับประสบการณ์ ณ สถานที่จริงในด้านเทคโนโลยีนวัตกรรมและการเป็นผู้ประกอบการ ผ่านการเรียนรู้ในรูปแบบ Project-based learning ที่ส่งเสริมให้นักศึกษาทำงานร่วมกับผู้อื่นและเรียนรู้ด้วยการลงมือปฏิบัติ ตั้งแต่การการวางแผน การควบคุมการปฏิบัติให้เป็นไปตามแผน การแก้ปัญหา การประเมินการปฏิบัติ การสื่อสารและการนำเสนอ ด้วยการทำโครงงาน (Term Project) ในรายวิชา 10901114 วิทยาศาสตร์และเทคโนโลยีการประมงที่นำสมัย สำหรับนักศึกษาชั้นปีที่ 4 สาขาการประมงและนวัตกรรมการผลิตสัตว์น้ำ รวมทั้งจัดอบรมทั้งบรรยายและปฏิบัติการให้กับนักศึกษาได้เรียนรู้แนวทางในการเป็นผู้ประกอบการ การดำเนินธุรกิจ เปิดโอกาสให้นักศึกษาได้นำเสนอผลงาน (Pitching) ผลลัพธ์จากการดำเนินการตามแพลตฟอร์มดังกล่าวสามารถผลักดันให้ นักศึกษาสามารถนำองค์ความรู้ไปต่อยอด/พัฒนาสู่การการเป็นผู้ประกอบการได้ต่อไป" xr:uid="{A2EE785A-DDCD-4133-9AF9-57B97A710348}"/>
  </hyperlinks>
  <printOptions horizontalCentered="1"/>
  <pageMargins left="0.31496062992125984" right="0.31496062992125984" top="0.74803149606299213" bottom="0.35433070866141736" header="0.31496062992125984" footer="0.31496062992125984"/>
  <pageSetup paperSize="9" orientation="landscape" r:id="rId25"/>
  <headerFooter>
    <oddHeader>&amp;C&amp;P</oddHeader>
  </headerFooter>
  <drawing r:id="rId2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AF640-58E2-4CE8-9932-30DC2848194B}">
  <dimension ref="A1:H63"/>
  <sheetViews>
    <sheetView topLeftCell="A2" workbookViewId="0">
      <selection activeCell="A6" sqref="A6"/>
    </sheetView>
  </sheetViews>
  <sheetFormatPr defaultRowHeight="21" x14ac:dyDescent="0.35"/>
  <cols>
    <col min="1" max="1" width="57.125" style="41" customWidth="1"/>
    <col min="2" max="2" width="8" style="41" customWidth="1"/>
    <col min="3" max="3" width="15.125" style="41" customWidth="1"/>
    <col min="4" max="4" width="15.375" style="41" customWidth="1"/>
    <col min="5" max="5" width="11.25" style="41" customWidth="1"/>
    <col min="6" max="6" width="15.25" style="41" customWidth="1"/>
    <col min="7" max="7" width="27.875" style="17" customWidth="1"/>
    <col min="8" max="259" width="9" style="17"/>
    <col min="260" max="260" width="46.75" style="17" customWidth="1"/>
    <col min="261" max="261" width="11.25" style="17" customWidth="1"/>
    <col min="262" max="262" width="14.375" style="17" customWidth="1"/>
    <col min="263" max="263" width="49.125" style="17" customWidth="1"/>
    <col min="264" max="515" width="9" style="17"/>
    <col min="516" max="516" width="46.75" style="17" customWidth="1"/>
    <col min="517" max="517" width="11.25" style="17" customWidth="1"/>
    <col min="518" max="518" width="14.375" style="17" customWidth="1"/>
    <col min="519" max="519" width="49.125" style="17" customWidth="1"/>
    <col min="520" max="771" width="9" style="17"/>
    <col min="772" max="772" width="46.75" style="17" customWidth="1"/>
    <col min="773" max="773" width="11.25" style="17" customWidth="1"/>
    <col min="774" max="774" width="14.375" style="17" customWidth="1"/>
    <col min="775" max="775" width="49.125" style="17" customWidth="1"/>
    <col min="776" max="1027" width="9" style="17"/>
    <col min="1028" max="1028" width="46.75" style="17" customWidth="1"/>
    <col min="1029" max="1029" width="11.25" style="17" customWidth="1"/>
    <col min="1030" max="1030" width="14.375" style="17" customWidth="1"/>
    <col min="1031" max="1031" width="49.125" style="17" customWidth="1"/>
    <col min="1032" max="1283" width="9" style="17"/>
    <col min="1284" max="1284" width="46.75" style="17" customWidth="1"/>
    <col min="1285" max="1285" width="11.25" style="17" customWidth="1"/>
    <col min="1286" max="1286" width="14.375" style="17" customWidth="1"/>
    <col min="1287" max="1287" width="49.125" style="17" customWidth="1"/>
    <col min="1288" max="1539" width="9" style="17"/>
    <col min="1540" max="1540" width="46.75" style="17" customWidth="1"/>
    <col min="1541" max="1541" width="11.25" style="17" customWidth="1"/>
    <col min="1542" max="1542" width="14.375" style="17" customWidth="1"/>
    <col min="1543" max="1543" width="49.125" style="17" customWidth="1"/>
    <col min="1544" max="1795" width="9" style="17"/>
    <col min="1796" max="1796" width="46.75" style="17" customWidth="1"/>
    <col min="1797" max="1797" width="11.25" style="17" customWidth="1"/>
    <col min="1798" max="1798" width="14.375" style="17" customWidth="1"/>
    <col min="1799" max="1799" width="49.125" style="17" customWidth="1"/>
    <col min="1800" max="2051" width="9" style="17"/>
    <col min="2052" max="2052" width="46.75" style="17" customWidth="1"/>
    <col min="2053" max="2053" width="11.25" style="17" customWidth="1"/>
    <col min="2054" max="2054" width="14.375" style="17" customWidth="1"/>
    <col min="2055" max="2055" width="49.125" style="17" customWidth="1"/>
    <col min="2056" max="2307" width="9" style="17"/>
    <col min="2308" max="2308" width="46.75" style="17" customWidth="1"/>
    <col min="2309" max="2309" width="11.25" style="17" customWidth="1"/>
    <col min="2310" max="2310" width="14.375" style="17" customWidth="1"/>
    <col min="2311" max="2311" width="49.125" style="17" customWidth="1"/>
    <col min="2312" max="2563" width="9" style="17"/>
    <col min="2564" max="2564" width="46.75" style="17" customWidth="1"/>
    <col min="2565" max="2565" width="11.25" style="17" customWidth="1"/>
    <col min="2566" max="2566" width="14.375" style="17" customWidth="1"/>
    <col min="2567" max="2567" width="49.125" style="17" customWidth="1"/>
    <col min="2568" max="2819" width="9" style="17"/>
    <col min="2820" max="2820" width="46.75" style="17" customWidth="1"/>
    <col min="2821" max="2821" width="11.25" style="17" customWidth="1"/>
    <col min="2822" max="2822" width="14.375" style="17" customWidth="1"/>
    <col min="2823" max="2823" width="49.125" style="17" customWidth="1"/>
    <col min="2824" max="3075" width="9" style="17"/>
    <col min="3076" max="3076" width="46.75" style="17" customWidth="1"/>
    <col min="3077" max="3077" width="11.25" style="17" customWidth="1"/>
    <col min="3078" max="3078" width="14.375" style="17" customWidth="1"/>
    <col min="3079" max="3079" width="49.125" style="17" customWidth="1"/>
    <col min="3080" max="3331" width="9" style="17"/>
    <col min="3332" max="3332" width="46.75" style="17" customWidth="1"/>
    <col min="3333" max="3333" width="11.25" style="17" customWidth="1"/>
    <col min="3334" max="3334" width="14.375" style="17" customWidth="1"/>
    <col min="3335" max="3335" width="49.125" style="17" customWidth="1"/>
    <col min="3336" max="3587" width="9" style="17"/>
    <col min="3588" max="3588" width="46.75" style="17" customWidth="1"/>
    <col min="3589" max="3589" width="11.25" style="17" customWidth="1"/>
    <col min="3590" max="3590" width="14.375" style="17" customWidth="1"/>
    <col min="3591" max="3591" width="49.125" style="17" customWidth="1"/>
    <col min="3592" max="3843" width="9" style="17"/>
    <col min="3844" max="3844" width="46.75" style="17" customWidth="1"/>
    <col min="3845" max="3845" width="11.25" style="17" customWidth="1"/>
    <col min="3846" max="3846" width="14.375" style="17" customWidth="1"/>
    <col min="3847" max="3847" width="49.125" style="17" customWidth="1"/>
    <col min="3848" max="4099" width="9" style="17"/>
    <col min="4100" max="4100" width="46.75" style="17" customWidth="1"/>
    <col min="4101" max="4101" width="11.25" style="17" customWidth="1"/>
    <col min="4102" max="4102" width="14.375" style="17" customWidth="1"/>
    <col min="4103" max="4103" width="49.125" style="17" customWidth="1"/>
    <col min="4104" max="4355" width="9" style="17"/>
    <col min="4356" max="4356" width="46.75" style="17" customWidth="1"/>
    <col min="4357" max="4357" width="11.25" style="17" customWidth="1"/>
    <col min="4358" max="4358" width="14.375" style="17" customWidth="1"/>
    <col min="4359" max="4359" width="49.125" style="17" customWidth="1"/>
    <col min="4360" max="4611" width="9" style="17"/>
    <col min="4612" max="4612" width="46.75" style="17" customWidth="1"/>
    <col min="4613" max="4613" width="11.25" style="17" customWidth="1"/>
    <col min="4614" max="4614" width="14.375" style="17" customWidth="1"/>
    <col min="4615" max="4615" width="49.125" style="17" customWidth="1"/>
    <col min="4616" max="4867" width="9" style="17"/>
    <col min="4868" max="4868" width="46.75" style="17" customWidth="1"/>
    <col min="4869" max="4869" width="11.25" style="17" customWidth="1"/>
    <col min="4870" max="4870" width="14.375" style="17" customWidth="1"/>
    <col min="4871" max="4871" width="49.125" style="17" customWidth="1"/>
    <col min="4872" max="5123" width="9" style="17"/>
    <col min="5124" max="5124" width="46.75" style="17" customWidth="1"/>
    <col min="5125" max="5125" width="11.25" style="17" customWidth="1"/>
    <col min="5126" max="5126" width="14.375" style="17" customWidth="1"/>
    <col min="5127" max="5127" width="49.125" style="17" customWidth="1"/>
    <col min="5128" max="5379" width="9" style="17"/>
    <col min="5380" max="5380" width="46.75" style="17" customWidth="1"/>
    <col min="5381" max="5381" width="11.25" style="17" customWidth="1"/>
    <col min="5382" max="5382" width="14.375" style="17" customWidth="1"/>
    <col min="5383" max="5383" width="49.125" style="17" customWidth="1"/>
    <col min="5384" max="5635" width="9" style="17"/>
    <col min="5636" max="5636" width="46.75" style="17" customWidth="1"/>
    <col min="5637" max="5637" width="11.25" style="17" customWidth="1"/>
    <col min="5638" max="5638" width="14.375" style="17" customWidth="1"/>
    <col min="5639" max="5639" width="49.125" style="17" customWidth="1"/>
    <col min="5640" max="5891" width="9" style="17"/>
    <col min="5892" max="5892" width="46.75" style="17" customWidth="1"/>
    <col min="5893" max="5893" width="11.25" style="17" customWidth="1"/>
    <col min="5894" max="5894" width="14.375" style="17" customWidth="1"/>
    <col min="5895" max="5895" width="49.125" style="17" customWidth="1"/>
    <col min="5896" max="6147" width="9" style="17"/>
    <col min="6148" max="6148" width="46.75" style="17" customWidth="1"/>
    <col min="6149" max="6149" width="11.25" style="17" customWidth="1"/>
    <col min="6150" max="6150" width="14.375" style="17" customWidth="1"/>
    <col min="6151" max="6151" width="49.125" style="17" customWidth="1"/>
    <col min="6152" max="6403" width="9" style="17"/>
    <col min="6404" max="6404" width="46.75" style="17" customWidth="1"/>
    <col min="6405" max="6405" width="11.25" style="17" customWidth="1"/>
    <col min="6406" max="6406" width="14.375" style="17" customWidth="1"/>
    <col min="6407" max="6407" width="49.125" style="17" customWidth="1"/>
    <col min="6408" max="6659" width="9" style="17"/>
    <col min="6660" max="6660" width="46.75" style="17" customWidth="1"/>
    <col min="6661" max="6661" width="11.25" style="17" customWidth="1"/>
    <col min="6662" max="6662" width="14.375" style="17" customWidth="1"/>
    <col min="6663" max="6663" width="49.125" style="17" customWidth="1"/>
    <col min="6664" max="6915" width="9" style="17"/>
    <col min="6916" max="6916" width="46.75" style="17" customWidth="1"/>
    <col min="6917" max="6917" width="11.25" style="17" customWidth="1"/>
    <col min="6918" max="6918" width="14.375" style="17" customWidth="1"/>
    <col min="6919" max="6919" width="49.125" style="17" customWidth="1"/>
    <col min="6920" max="7171" width="9" style="17"/>
    <col min="7172" max="7172" width="46.75" style="17" customWidth="1"/>
    <col min="7173" max="7173" width="11.25" style="17" customWidth="1"/>
    <col min="7174" max="7174" width="14.375" style="17" customWidth="1"/>
    <col min="7175" max="7175" width="49.125" style="17" customWidth="1"/>
    <col min="7176" max="7427" width="9" style="17"/>
    <col min="7428" max="7428" width="46.75" style="17" customWidth="1"/>
    <col min="7429" max="7429" width="11.25" style="17" customWidth="1"/>
    <col min="7430" max="7430" width="14.375" style="17" customWidth="1"/>
    <col min="7431" max="7431" width="49.125" style="17" customWidth="1"/>
    <col min="7432" max="7683" width="9" style="17"/>
    <col min="7684" max="7684" width="46.75" style="17" customWidth="1"/>
    <col min="7685" max="7685" width="11.25" style="17" customWidth="1"/>
    <col min="7686" max="7686" width="14.375" style="17" customWidth="1"/>
    <col min="7687" max="7687" width="49.125" style="17" customWidth="1"/>
    <col min="7688" max="7939" width="9" style="17"/>
    <col min="7940" max="7940" width="46.75" style="17" customWidth="1"/>
    <col min="7941" max="7941" width="11.25" style="17" customWidth="1"/>
    <col min="7942" max="7942" width="14.375" style="17" customWidth="1"/>
    <col min="7943" max="7943" width="49.125" style="17" customWidth="1"/>
    <col min="7944" max="8195" width="9" style="17"/>
    <col min="8196" max="8196" width="46.75" style="17" customWidth="1"/>
    <col min="8197" max="8197" width="11.25" style="17" customWidth="1"/>
    <col min="8198" max="8198" width="14.375" style="17" customWidth="1"/>
    <col min="8199" max="8199" width="49.125" style="17" customWidth="1"/>
    <col min="8200" max="8451" width="9" style="17"/>
    <col min="8452" max="8452" width="46.75" style="17" customWidth="1"/>
    <col min="8453" max="8453" width="11.25" style="17" customWidth="1"/>
    <col min="8454" max="8454" width="14.375" style="17" customWidth="1"/>
    <col min="8455" max="8455" width="49.125" style="17" customWidth="1"/>
    <col min="8456" max="8707" width="9" style="17"/>
    <col min="8708" max="8708" width="46.75" style="17" customWidth="1"/>
    <col min="8709" max="8709" width="11.25" style="17" customWidth="1"/>
    <col min="8710" max="8710" width="14.375" style="17" customWidth="1"/>
    <col min="8711" max="8711" width="49.125" style="17" customWidth="1"/>
    <col min="8712" max="8963" width="9" style="17"/>
    <col min="8964" max="8964" width="46.75" style="17" customWidth="1"/>
    <col min="8965" max="8965" width="11.25" style="17" customWidth="1"/>
    <col min="8966" max="8966" width="14.375" style="17" customWidth="1"/>
    <col min="8967" max="8967" width="49.125" style="17" customWidth="1"/>
    <col min="8968" max="9219" width="9" style="17"/>
    <col min="9220" max="9220" width="46.75" style="17" customWidth="1"/>
    <col min="9221" max="9221" width="11.25" style="17" customWidth="1"/>
    <col min="9222" max="9222" width="14.375" style="17" customWidth="1"/>
    <col min="9223" max="9223" width="49.125" style="17" customWidth="1"/>
    <col min="9224" max="9475" width="9" style="17"/>
    <col min="9476" max="9476" width="46.75" style="17" customWidth="1"/>
    <col min="9477" max="9477" width="11.25" style="17" customWidth="1"/>
    <col min="9478" max="9478" width="14.375" style="17" customWidth="1"/>
    <col min="9479" max="9479" width="49.125" style="17" customWidth="1"/>
    <col min="9480" max="9731" width="9" style="17"/>
    <col min="9732" max="9732" width="46.75" style="17" customWidth="1"/>
    <col min="9733" max="9733" width="11.25" style="17" customWidth="1"/>
    <col min="9734" max="9734" width="14.375" style="17" customWidth="1"/>
    <col min="9735" max="9735" width="49.125" style="17" customWidth="1"/>
    <col min="9736" max="9987" width="9" style="17"/>
    <col min="9988" max="9988" width="46.75" style="17" customWidth="1"/>
    <col min="9989" max="9989" width="11.25" style="17" customWidth="1"/>
    <col min="9990" max="9990" width="14.375" style="17" customWidth="1"/>
    <col min="9991" max="9991" width="49.125" style="17" customWidth="1"/>
    <col min="9992" max="10243" width="9" style="17"/>
    <col min="10244" max="10244" width="46.75" style="17" customWidth="1"/>
    <col min="10245" max="10245" width="11.25" style="17" customWidth="1"/>
    <col min="10246" max="10246" width="14.375" style="17" customWidth="1"/>
    <col min="10247" max="10247" width="49.125" style="17" customWidth="1"/>
    <col min="10248" max="10499" width="9" style="17"/>
    <col min="10500" max="10500" width="46.75" style="17" customWidth="1"/>
    <col min="10501" max="10501" width="11.25" style="17" customWidth="1"/>
    <col min="10502" max="10502" width="14.375" style="17" customWidth="1"/>
    <col min="10503" max="10503" width="49.125" style="17" customWidth="1"/>
    <col min="10504" max="10755" width="9" style="17"/>
    <col min="10756" max="10756" width="46.75" style="17" customWidth="1"/>
    <col min="10757" max="10757" width="11.25" style="17" customWidth="1"/>
    <col min="10758" max="10758" width="14.375" style="17" customWidth="1"/>
    <col min="10759" max="10759" width="49.125" style="17" customWidth="1"/>
    <col min="10760" max="11011" width="9" style="17"/>
    <col min="11012" max="11012" width="46.75" style="17" customWidth="1"/>
    <col min="11013" max="11013" width="11.25" style="17" customWidth="1"/>
    <col min="11014" max="11014" width="14.375" style="17" customWidth="1"/>
    <col min="11015" max="11015" width="49.125" style="17" customWidth="1"/>
    <col min="11016" max="11267" width="9" style="17"/>
    <col min="11268" max="11268" width="46.75" style="17" customWidth="1"/>
    <col min="11269" max="11269" width="11.25" style="17" customWidth="1"/>
    <col min="11270" max="11270" width="14.375" style="17" customWidth="1"/>
    <col min="11271" max="11271" width="49.125" style="17" customWidth="1"/>
    <col min="11272" max="11523" width="9" style="17"/>
    <col min="11524" max="11524" width="46.75" style="17" customWidth="1"/>
    <col min="11525" max="11525" width="11.25" style="17" customWidth="1"/>
    <col min="11526" max="11526" width="14.375" style="17" customWidth="1"/>
    <col min="11527" max="11527" width="49.125" style="17" customWidth="1"/>
    <col min="11528" max="11779" width="9" style="17"/>
    <col min="11780" max="11780" width="46.75" style="17" customWidth="1"/>
    <col min="11781" max="11781" width="11.25" style="17" customWidth="1"/>
    <col min="11782" max="11782" width="14.375" style="17" customWidth="1"/>
    <col min="11783" max="11783" width="49.125" style="17" customWidth="1"/>
    <col min="11784" max="12035" width="9" style="17"/>
    <col min="12036" max="12036" width="46.75" style="17" customWidth="1"/>
    <col min="12037" max="12037" width="11.25" style="17" customWidth="1"/>
    <col min="12038" max="12038" width="14.375" style="17" customWidth="1"/>
    <col min="12039" max="12039" width="49.125" style="17" customWidth="1"/>
    <col min="12040" max="12291" width="9" style="17"/>
    <col min="12292" max="12292" width="46.75" style="17" customWidth="1"/>
    <col min="12293" max="12293" width="11.25" style="17" customWidth="1"/>
    <col min="12294" max="12294" width="14.375" style="17" customWidth="1"/>
    <col min="12295" max="12295" width="49.125" style="17" customWidth="1"/>
    <col min="12296" max="12547" width="9" style="17"/>
    <col min="12548" max="12548" width="46.75" style="17" customWidth="1"/>
    <col min="12549" max="12549" width="11.25" style="17" customWidth="1"/>
    <col min="12550" max="12550" width="14.375" style="17" customWidth="1"/>
    <col min="12551" max="12551" width="49.125" style="17" customWidth="1"/>
    <col min="12552" max="12803" width="9" style="17"/>
    <col min="12804" max="12804" width="46.75" style="17" customWidth="1"/>
    <col min="12805" max="12805" width="11.25" style="17" customWidth="1"/>
    <col min="12806" max="12806" width="14.375" style="17" customWidth="1"/>
    <col min="12807" max="12807" width="49.125" style="17" customWidth="1"/>
    <col min="12808" max="13059" width="9" style="17"/>
    <col min="13060" max="13060" width="46.75" style="17" customWidth="1"/>
    <col min="13061" max="13061" width="11.25" style="17" customWidth="1"/>
    <col min="13062" max="13062" width="14.375" style="17" customWidth="1"/>
    <col min="13063" max="13063" width="49.125" style="17" customWidth="1"/>
    <col min="13064" max="13315" width="9" style="17"/>
    <col min="13316" max="13316" width="46.75" style="17" customWidth="1"/>
    <col min="13317" max="13317" width="11.25" style="17" customWidth="1"/>
    <col min="13318" max="13318" width="14.375" style="17" customWidth="1"/>
    <col min="13319" max="13319" width="49.125" style="17" customWidth="1"/>
    <col min="13320" max="13571" width="9" style="17"/>
    <col min="13572" max="13572" width="46.75" style="17" customWidth="1"/>
    <col min="13573" max="13573" width="11.25" style="17" customWidth="1"/>
    <col min="13574" max="13574" width="14.375" style="17" customWidth="1"/>
    <col min="13575" max="13575" width="49.125" style="17" customWidth="1"/>
    <col min="13576" max="13827" width="9" style="17"/>
    <col min="13828" max="13828" width="46.75" style="17" customWidth="1"/>
    <col min="13829" max="13829" width="11.25" style="17" customWidth="1"/>
    <col min="13830" max="13830" width="14.375" style="17" customWidth="1"/>
    <col min="13831" max="13831" width="49.125" style="17" customWidth="1"/>
    <col min="13832" max="14083" width="9" style="17"/>
    <col min="14084" max="14084" width="46.75" style="17" customWidth="1"/>
    <col min="14085" max="14085" width="11.25" style="17" customWidth="1"/>
    <col min="14086" max="14086" width="14.375" style="17" customWidth="1"/>
    <col min="14087" max="14087" width="49.125" style="17" customWidth="1"/>
    <col min="14088" max="14339" width="9" style="17"/>
    <col min="14340" max="14340" width="46.75" style="17" customWidth="1"/>
    <col min="14341" max="14341" width="11.25" style="17" customWidth="1"/>
    <col min="14342" max="14342" width="14.375" style="17" customWidth="1"/>
    <col min="14343" max="14343" width="49.125" style="17" customWidth="1"/>
    <col min="14344" max="14595" width="9" style="17"/>
    <col min="14596" max="14596" width="46.75" style="17" customWidth="1"/>
    <col min="14597" max="14597" width="11.25" style="17" customWidth="1"/>
    <col min="14598" max="14598" width="14.375" style="17" customWidth="1"/>
    <col min="14599" max="14599" width="49.125" style="17" customWidth="1"/>
    <col min="14600" max="14851" width="9" style="17"/>
    <col min="14852" max="14852" width="46.75" style="17" customWidth="1"/>
    <col min="14853" max="14853" width="11.25" style="17" customWidth="1"/>
    <col min="14854" max="14854" width="14.375" style="17" customWidth="1"/>
    <col min="14855" max="14855" width="49.125" style="17" customWidth="1"/>
    <col min="14856" max="15107" width="9" style="17"/>
    <col min="15108" max="15108" width="46.75" style="17" customWidth="1"/>
    <col min="15109" max="15109" width="11.25" style="17" customWidth="1"/>
    <col min="15110" max="15110" width="14.375" style="17" customWidth="1"/>
    <col min="15111" max="15111" width="49.125" style="17" customWidth="1"/>
    <col min="15112" max="15363" width="9" style="17"/>
    <col min="15364" max="15364" width="46.75" style="17" customWidth="1"/>
    <col min="15365" max="15365" width="11.25" style="17" customWidth="1"/>
    <col min="15366" max="15366" width="14.375" style="17" customWidth="1"/>
    <col min="15367" max="15367" width="49.125" style="17" customWidth="1"/>
    <col min="15368" max="15619" width="9" style="17"/>
    <col min="15620" max="15620" width="46.75" style="17" customWidth="1"/>
    <col min="15621" max="15621" width="11.25" style="17" customWidth="1"/>
    <col min="15622" max="15622" width="14.375" style="17" customWidth="1"/>
    <col min="15623" max="15623" width="49.125" style="17" customWidth="1"/>
    <col min="15624" max="15875" width="9" style="17"/>
    <col min="15876" max="15876" width="46.75" style="17" customWidth="1"/>
    <col min="15877" max="15877" width="11.25" style="17" customWidth="1"/>
    <col min="15878" max="15878" width="14.375" style="17" customWidth="1"/>
    <col min="15879" max="15879" width="49.125" style="17" customWidth="1"/>
    <col min="15880" max="16131" width="9" style="17"/>
    <col min="16132" max="16132" width="46.75" style="17" customWidth="1"/>
    <col min="16133" max="16133" width="11.25" style="17" customWidth="1"/>
    <col min="16134" max="16134" width="14.375" style="17" customWidth="1"/>
    <col min="16135" max="16135" width="49.125" style="17" customWidth="1"/>
    <col min="16136" max="16384" width="9" style="17"/>
  </cols>
  <sheetData>
    <row r="1" spans="1:8" s="37" customFormat="1" ht="39" customHeight="1" x14ac:dyDescent="0.2">
      <c r="A1" s="142" t="s">
        <v>98</v>
      </c>
      <c r="B1" s="142"/>
      <c r="C1" s="142"/>
      <c r="D1" s="142"/>
      <c r="E1" s="142"/>
      <c r="F1" s="142"/>
      <c r="G1" s="142"/>
    </row>
    <row r="2" spans="1:8" s="37" customFormat="1" ht="33.75" customHeight="1" x14ac:dyDescent="0.2">
      <c r="A2" s="143" t="s">
        <v>99</v>
      </c>
      <c r="B2" s="143"/>
      <c r="C2" s="143"/>
      <c r="D2" s="143"/>
      <c r="E2" s="143"/>
      <c r="F2" s="143"/>
      <c r="G2" s="143"/>
    </row>
    <row r="3" spans="1:8" ht="27.75" customHeight="1" x14ac:dyDescent="0.35">
      <c r="A3" s="144" t="s">
        <v>85</v>
      </c>
      <c r="B3" s="147" t="s">
        <v>86</v>
      </c>
      <c r="C3" s="148"/>
      <c r="D3" s="148"/>
      <c r="E3" s="149"/>
      <c r="F3" s="147" t="s">
        <v>87</v>
      </c>
      <c r="G3" s="151" t="s">
        <v>88</v>
      </c>
    </row>
    <row r="4" spans="1:8" s="18" customFormat="1" ht="24" customHeight="1" x14ac:dyDescent="0.2">
      <c r="A4" s="145"/>
      <c r="B4" s="150" t="s">
        <v>163</v>
      </c>
      <c r="C4" s="154"/>
      <c r="D4" s="154"/>
      <c r="E4" s="155"/>
      <c r="F4" s="150"/>
      <c r="G4" s="152"/>
    </row>
    <row r="5" spans="1:8" s="18" customFormat="1" ht="36" customHeight="1" x14ac:dyDescent="0.2">
      <c r="A5" s="146"/>
      <c r="B5" s="19" t="s">
        <v>2</v>
      </c>
      <c r="C5" s="19" t="s">
        <v>89</v>
      </c>
      <c r="D5" s="19" t="s">
        <v>90</v>
      </c>
      <c r="E5" s="19" t="s">
        <v>91</v>
      </c>
      <c r="F5" s="20" t="s">
        <v>92</v>
      </c>
      <c r="G5" s="153"/>
    </row>
    <row r="6" spans="1:8" s="25" customFormat="1" ht="32.25" customHeight="1" x14ac:dyDescent="0.35">
      <c r="A6" s="21" t="s">
        <v>149</v>
      </c>
      <c r="B6" s="22">
        <f>SUM(C6:E6)</f>
        <v>8</v>
      </c>
      <c r="C6" s="22">
        <v>2</v>
      </c>
      <c r="D6" s="22">
        <v>6</v>
      </c>
      <c r="E6" s="22">
        <v>0</v>
      </c>
      <c r="F6" s="23">
        <f>AVERAGE('ตัวชี้วัด 69 (6 เดือน)'!E7:E11,'ตัวชี้วัด 69 (6 เดือน)'!E13:E15)</f>
        <v>46.762606837606839</v>
      </c>
      <c r="G6" s="24"/>
    </row>
    <row r="7" spans="1:8" s="25" customFormat="1" ht="28.5" customHeight="1" x14ac:dyDescent="0.35">
      <c r="A7" s="21" t="s">
        <v>150</v>
      </c>
      <c r="B7" s="22">
        <f t="shared" ref="B7:B14" si="0">SUM(C7:E7)</f>
        <v>16</v>
      </c>
      <c r="C7" s="22">
        <f>SUM(C8:C11)</f>
        <v>10</v>
      </c>
      <c r="D7" s="22">
        <v>0</v>
      </c>
      <c r="E7" s="22">
        <f>SUM(E8:E11)</f>
        <v>6</v>
      </c>
      <c r="F7" s="23">
        <f>AVERAGE('ตัวชี้วัด 69 (6 เดือน)'!E19,'ตัวชี้วัด 69 (6 เดือน)'!E20,'ตัวชี้วัด 69 (6 เดือน)'!E22,'ตัวชี้วัด 69 (6 เดือน)'!E24,'ตัวชี้วัด 69 (6 เดือน)'!E25,'ตัวชี้วัด 69 (6 เดือน)'!E26,'ตัวชี้วัด 69 (6 เดือน)'!E28,'ตัวชี้วัด 69 (6 เดือน)'!E29,'ตัวชี้วัด 69 (6 เดือน)'!E30,'ตัวชี้วัด 69 (6 เดือน)'!E31,'ตัวชี้วัด 69 (6 เดือน)'!E32,'ตัวชี้วัด 69 (6 เดือน)'!E33,'ตัวชี้วัด 69 (6 เดือน)'!E34,'ตัวชี้วัด 69 (6 เดือน)'!E35,'ตัวชี้วัด 69 (6 เดือน)'!E37,'ตัวชี้วัด 69 (6 เดือน)'!E42)</f>
        <v>78.739174107142844</v>
      </c>
      <c r="G7" s="26"/>
      <c r="H7" s="27"/>
    </row>
    <row r="8" spans="1:8" ht="28.5" customHeight="1" x14ac:dyDescent="0.35">
      <c r="A8" s="28" t="s">
        <v>93</v>
      </c>
      <c r="B8" s="22">
        <f t="shared" si="0"/>
        <v>9</v>
      </c>
      <c r="C8" s="29">
        <v>4</v>
      </c>
      <c r="D8" s="29">
        <v>2</v>
      </c>
      <c r="E8" s="29">
        <v>3</v>
      </c>
      <c r="F8" s="30">
        <f>AVERAGE('ตัวชี้วัด 69 (6 เดือน)'!E19,'ตัวชี้วัด 69 (6 เดือน)'!E20,'ตัวชี้วัด 69 (6 เดือน)'!E22,'ตัวชี้วัด 69 (6 เดือน)'!E24,'ตัวชี้วัด 69 (6 เดือน)'!E25,'ตัวชี้วัด 69 (6 เดือน)'!E26)</f>
        <v>82.143749999999997</v>
      </c>
      <c r="G8" s="88"/>
    </row>
    <row r="9" spans="1:8" ht="24.75" customHeight="1" x14ac:dyDescent="0.35">
      <c r="A9" s="28" t="s">
        <v>94</v>
      </c>
      <c r="B9" s="22">
        <f t="shared" si="0"/>
        <v>8</v>
      </c>
      <c r="C9" s="29">
        <v>5</v>
      </c>
      <c r="D9" s="29">
        <v>3</v>
      </c>
      <c r="E9" s="29">
        <v>0</v>
      </c>
      <c r="F9" s="30">
        <f>AVERAGE('ตัวชี้วัด 69 (6 เดือน)'!E28,'ตัวชี้วัด 69 (6 เดือน)'!E29,'ตัวชี้วัด 69 (6 เดือน)'!E30,'ตัวชี้วัด 69 (6 เดือน)'!E31,'ตัวชี้วัด 69 (6 เดือน)'!E32,'ตัวชี้วัด 69 (6 เดือน)'!E33,'ตัวชี้วัด 69 (6 เดือน)'!E34,'ตัวชี้วัด 69 (6 เดือน)'!E35)</f>
        <v>83.370535714285722</v>
      </c>
      <c r="G9" s="31"/>
    </row>
    <row r="10" spans="1:8" ht="24.75" customHeight="1" x14ac:dyDescent="0.35">
      <c r="A10" s="28" t="s">
        <v>95</v>
      </c>
      <c r="B10" s="22">
        <f t="shared" si="0"/>
        <v>3</v>
      </c>
      <c r="C10" s="29">
        <v>1</v>
      </c>
      <c r="D10" s="29">
        <v>0</v>
      </c>
      <c r="E10" s="29">
        <v>2</v>
      </c>
      <c r="F10" s="30">
        <f>AVERAGE('ตัวชี้วัด 69 (6 เดือน)'!E37)</f>
        <v>100</v>
      </c>
      <c r="G10" s="31"/>
    </row>
    <row r="11" spans="1:8" ht="24.75" customHeight="1" x14ac:dyDescent="0.35">
      <c r="A11" s="28" t="s">
        <v>96</v>
      </c>
      <c r="B11" s="22">
        <f t="shared" si="0"/>
        <v>2</v>
      </c>
      <c r="C11" s="29">
        <v>0</v>
      </c>
      <c r="D11" s="29">
        <v>1</v>
      </c>
      <c r="E11" s="29">
        <v>1</v>
      </c>
      <c r="F11" s="30">
        <f>AVERAGE('ตัวชี้วัด 69 (6 เดือน)'!E42)</f>
        <v>0</v>
      </c>
      <c r="G11" s="31"/>
    </row>
    <row r="12" spans="1:8" s="25" customFormat="1" ht="27.75" customHeight="1" x14ac:dyDescent="0.35">
      <c r="A12" s="21" t="s">
        <v>151</v>
      </c>
      <c r="B12" s="22">
        <f t="shared" si="0"/>
        <v>5</v>
      </c>
      <c r="C12" s="22">
        <v>0</v>
      </c>
      <c r="D12" s="22">
        <v>4</v>
      </c>
      <c r="E12" s="22">
        <v>1</v>
      </c>
      <c r="F12" s="23">
        <f>AVERAGE('ตัวชี้วัด 69 (6 เดือน)'!E45,'ตัวชี้วัด 69 (6 เดือน)'!E46,'ตัวชี้วัด 69 (6 เดือน)'!E48,'ตัวชี้วัด 69 (6 เดือน)'!E51)</f>
        <v>52.5</v>
      </c>
      <c r="G12" s="24"/>
    </row>
    <row r="13" spans="1:8" s="25" customFormat="1" ht="47.25" customHeight="1" x14ac:dyDescent="0.35">
      <c r="A13" s="21" t="s">
        <v>152</v>
      </c>
      <c r="B13" s="22">
        <f t="shared" si="0"/>
        <v>3</v>
      </c>
      <c r="C13" s="22">
        <v>1</v>
      </c>
      <c r="D13" s="22">
        <v>2</v>
      </c>
      <c r="E13" s="22">
        <v>0</v>
      </c>
      <c r="F13" s="23">
        <f>AVERAGE('ตัวชี้วัด 69 (6 เดือน)'!E56:E59)</f>
        <v>60</v>
      </c>
      <c r="G13" s="26"/>
    </row>
    <row r="14" spans="1:8" s="25" customFormat="1" ht="42" x14ac:dyDescent="0.35">
      <c r="A14" s="21" t="s">
        <v>153</v>
      </c>
      <c r="B14" s="22">
        <f t="shared" si="0"/>
        <v>8</v>
      </c>
      <c r="C14" s="22">
        <v>3</v>
      </c>
      <c r="D14" s="22">
        <v>2</v>
      </c>
      <c r="E14" s="22">
        <v>3</v>
      </c>
      <c r="F14" s="23">
        <f>AVERAGE('ตัวชี้วัด 69 (6 เดือน)'!E66,'ตัวชี้วัด 69 (6 เดือน)'!E69,'ตัวชี้วัด 69 (6 เดือน)'!E70,'ตัวชี้วัด 69 (6 เดือน)'!E71,'ตัวชี้วัด 69 (6 เดือน)'!E73)</f>
        <v>69.488286063157901</v>
      </c>
      <c r="G14" s="26"/>
    </row>
    <row r="15" spans="1:8" s="37" customFormat="1" ht="28.5" customHeight="1" x14ac:dyDescent="0.2">
      <c r="A15" s="32" t="s">
        <v>154</v>
      </c>
      <c r="B15" s="33">
        <f>B6+B7+B12+B13+B14</f>
        <v>40</v>
      </c>
      <c r="C15" s="33">
        <f>C6+C7+C12+C13+C14</f>
        <v>16</v>
      </c>
      <c r="D15" s="33">
        <f>D6+D7+D12+D13+D14</f>
        <v>14</v>
      </c>
      <c r="E15" s="33">
        <f>E6+E7+E12+E13+E14</f>
        <v>10</v>
      </c>
      <c r="F15" s="34">
        <f>AVERAGE('ตัวชี้วัด 69 (6 เดือน)'!E7,'ตัวชี้วัด 69 (6 เดือน)'!E8,'ตัวชี้วัด 69 (6 เดือน)'!E9,'ตัวชี้วัด 69 (6 เดือน)'!E10,'ตัวชี้วัด 69 (6 เดือน)'!E11,'ตัวชี้วัด 69 (6 เดือน)'!E13,'ตัวชี้วัด 69 (6 เดือน)'!E14,'ตัวชี้วัด 69 (6 เดือน)'!E15,'ตัวชี้วัด 69 (6 เดือน)'!E19,'ตัวชี้วัด 69 (6 เดือน)'!E20,'ตัวชี้วัด 69 (6 เดือน)'!E22,'ตัวชี้วัด 69 (6 เดือน)'!E24,'ตัวชี้วัด 69 (6 เดือน)'!E25,'ตัวชี้วัด 69 (6 เดือน)'!E26,'ตัวชี้วัด 69 (6 เดือน)'!E28,'ตัวชี้วัด 69 (6 เดือน)'!E29,'ตัวชี้วัด 69 (6 เดือน)'!E30,'ตัวชี้วัด 69 (6 เดือน)'!E31,'ตัวชี้วัด 69 (6 เดือน)'!E32,'ตัวชี้วัด 69 (6 เดือน)'!E33,'ตัวชี้วัด 69 (6 เดือน)'!E34,'ตัวชี้วัด 69 (6 เดือน)'!E35,'ตัวชี้วัด 69 (6 เดือน)'!E37,'ตัวชี้วัด 69 (6 เดือน)'!E42,'ตัวชี้วัด 69 (6 เดือน)'!E45,'ตัวชี้วัด 69 (6 เดือน)'!E46,'ตัวชี้วัด 69 (6 เดือน)'!E48,'ตัวชี้วัด 69 (6 เดือน)'!E51,'ตัวชี้วัด 69 (6 เดือน)'!E56,'ตัวชี้วัด 69 (6 เดือน)'!E57,'ตัวชี้วัด 69 (6 เดือน)'!E59,'ตัวชี้วัด 69 (6 เดือน)'!E66,'ตัวชี้วัด 69 (6 เดือน)'!E69,'ตัวชี้วัด 69 (6 เดือน)'!E70,'ตัวชี้วัด 69 (6 เดือน)'!E71,'ตัวชี้วัด 69 (6 เดือน)'!E73)</f>
        <v>65.871363075859165</v>
      </c>
      <c r="G15" s="36"/>
    </row>
    <row r="16" spans="1:8" s="37" customFormat="1" ht="24.75" customHeight="1" x14ac:dyDescent="0.2">
      <c r="A16" s="38" t="s">
        <v>97</v>
      </c>
      <c r="B16" s="39"/>
      <c r="C16" s="39"/>
      <c r="D16" s="39"/>
      <c r="E16" s="39"/>
      <c r="F16" s="35">
        <f>F15*5/100</f>
        <v>3.2935681537929584</v>
      </c>
      <c r="G16" s="36"/>
    </row>
    <row r="17" spans="1:7" s="41" customFormat="1" x14ac:dyDescent="0.35">
      <c r="A17" s="40"/>
      <c r="B17" s="40"/>
      <c r="C17" s="40"/>
      <c r="D17" s="40"/>
      <c r="E17" s="40"/>
      <c r="F17" s="40"/>
      <c r="G17" s="17"/>
    </row>
    <row r="63" spans="3:4" x14ac:dyDescent="0.35">
      <c r="C63" s="41">
        <v>5</v>
      </c>
      <c r="D63" s="41">
        <v>3</v>
      </c>
    </row>
  </sheetData>
  <mergeCells count="7">
    <mergeCell ref="A1:G1"/>
    <mergeCell ref="A2:G2"/>
    <mergeCell ref="A3:A5"/>
    <mergeCell ref="B3:E3"/>
    <mergeCell ref="F3:F4"/>
    <mergeCell ref="G3:G5"/>
    <mergeCell ref="B4:E4"/>
  </mergeCells>
  <printOptions horizontalCentered="1"/>
  <pageMargins left="0.31496062992125984" right="0.31496062992125984" top="0.74803149606299213" bottom="0.55118110236220474" header="0.31496062992125984" footer="0.31496062992125984"/>
  <pageSetup paperSize="9" scale="85" firstPageNumber="18" orientation="landscape" useFirstPageNumber="1" r:id="rId1"/>
  <headerFooter>
    <oddHeader>&amp;C&amp;"TH SarabunPSK,ธรรมดา"&amp;12&amp;P</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56BA0-6B82-450E-857A-9529B9E26BF9}">
  <dimension ref="A1:G79"/>
  <sheetViews>
    <sheetView topLeftCell="A75" zoomScale="120" zoomScaleNormal="120" workbookViewId="0">
      <selection activeCell="H11" sqref="H11"/>
    </sheetView>
  </sheetViews>
  <sheetFormatPr defaultRowHeight="18" x14ac:dyDescent="0.2"/>
  <cols>
    <col min="1" max="1" width="17.25" style="5" customWidth="1"/>
    <col min="2" max="2" width="8.625" style="44" customWidth="1"/>
    <col min="3" max="3" width="12.625" style="5" customWidth="1"/>
    <col min="4" max="4" width="11.75" style="46" customWidth="1"/>
    <col min="5" max="5" width="10" style="46" customWidth="1"/>
    <col min="6" max="6" width="38.75" style="84" customWidth="1"/>
    <col min="7" max="7" width="32.875" style="44" customWidth="1"/>
    <col min="8" max="16384" width="9" style="5"/>
  </cols>
  <sheetData>
    <row r="1" spans="1:7" ht="21.75" customHeight="1" x14ac:dyDescent="0.2">
      <c r="G1" s="103"/>
    </row>
    <row r="2" spans="1:7" s="2" customFormat="1" ht="25.5" customHeight="1" x14ac:dyDescent="0.2">
      <c r="A2" s="119" t="s">
        <v>79</v>
      </c>
      <c r="B2" s="119"/>
      <c r="C2" s="119"/>
      <c r="D2" s="119"/>
      <c r="E2" s="119"/>
      <c r="F2" s="119"/>
      <c r="G2" s="119"/>
    </row>
    <row r="3" spans="1:7" s="2" customFormat="1" ht="23.25" customHeight="1" x14ac:dyDescent="0.2">
      <c r="A3" s="120" t="s">
        <v>199</v>
      </c>
      <c r="B3" s="120"/>
      <c r="C3" s="120"/>
      <c r="D3" s="120"/>
      <c r="E3" s="120"/>
      <c r="F3" s="120"/>
      <c r="G3" s="120"/>
    </row>
    <row r="4" spans="1:7" ht="48" customHeight="1" x14ac:dyDescent="0.2">
      <c r="A4" s="3" t="s">
        <v>0</v>
      </c>
      <c r="B4" s="105" t="s">
        <v>1</v>
      </c>
      <c r="C4" s="4" t="s">
        <v>146</v>
      </c>
      <c r="D4" s="3" t="s">
        <v>81</v>
      </c>
      <c r="E4" s="3" t="s">
        <v>147</v>
      </c>
      <c r="F4" s="3" t="s">
        <v>82</v>
      </c>
      <c r="G4" s="3" t="s">
        <v>83</v>
      </c>
    </row>
    <row r="5" spans="1:7" ht="20.25" customHeight="1" x14ac:dyDescent="0.2">
      <c r="A5" s="121" t="s">
        <v>3</v>
      </c>
      <c r="B5" s="121"/>
      <c r="C5" s="121"/>
      <c r="D5" s="121"/>
      <c r="E5" s="121"/>
      <c r="F5" s="121"/>
      <c r="G5" s="121"/>
    </row>
    <row r="6" spans="1:7" ht="24" customHeight="1" x14ac:dyDescent="0.2">
      <c r="A6" s="118" t="s">
        <v>4</v>
      </c>
      <c r="B6" s="118"/>
      <c r="C6" s="118"/>
      <c r="D6" s="118"/>
      <c r="E6" s="118"/>
      <c r="F6" s="118"/>
      <c r="G6" s="118"/>
    </row>
    <row r="7" spans="1:7" ht="60" customHeight="1" x14ac:dyDescent="0.2">
      <c r="A7" s="6" t="s">
        <v>5</v>
      </c>
      <c r="B7" s="106" t="s">
        <v>6</v>
      </c>
      <c r="C7" s="51" t="s">
        <v>7</v>
      </c>
      <c r="D7" s="85">
        <v>1501</v>
      </c>
      <c r="E7" s="7">
        <v>100</v>
      </c>
      <c r="F7" s="42" t="s">
        <v>193</v>
      </c>
      <c r="G7" s="42" t="s">
        <v>100</v>
      </c>
    </row>
    <row r="8" spans="1:7" ht="53.25" customHeight="1" x14ac:dyDescent="0.2">
      <c r="A8" s="6" t="s">
        <v>9</v>
      </c>
      <c r="B8" s="106" t="s">
        <v>6</v>
      </c>
      <c r="C8" s="51">
        <v>10</v>
      </c>
      <c r="D8" s="47">
        <v>13</v>
      </c>
      <c r="E8" s="45">
        <f>10*100/13</f>
        <v>76.92307692307692</v>
      </c>
      <c r="F8" s="42" t="s">
        <v>193</v>
      </c>
      <c r="G8" s="42" t="s">
        <v>103</v>
      </c>
    </row>
    <row r="9" spans="1:7" ht="52.5" customHeight="1" x14ac:dyDescent="0.2">
      <c r="A9" s="6" t="s">
        <v>10</v>
      </c>
      <c r="B9" s="106" t="s">
        <v>6</v>
      </c>
      <c r="C9" s="51" t="s">
        <v>11</v>
      </c>
      <c r="D9" s="47">
        <v>401</v>
      </c>
      <c r="E9" s="7">
        <v>100</v>
      </c>
      <c r="F9" s="42" t="s">
        <v>193</v>
      </c>
      <c r="G9" s="42" t="s">
        <v>104</v>
      </c>
    </row>
    <row r="10" spans="1:7" ht="165.75" customHeight="1" x14ac:dyDescent="0.2">
      <c r="A10" s="6" t="s">
        <v>12</v>
      </c>
      <c r="B10" s="106" t="s">
        <v>13</v>
      </c>
      <c r="C10" s="51">
        <v>5</v>
      </c>
      <c r="D10" s="47">
        <v>0</v>
      </c>
      <c r="E10" s="95">
        <v>0</v>
      </c>
      <c r="F10" s="42" t="s">
        <v>184</v>
      </c>
      <c r="G10" s="42" t="s">
        <v>105</v>
      </c>
    </row>
    <row r="11" spans="1:7" ht="99" customHeight="1" x14ac:dyDescent="0.2">
      <c r="A11" s="6" t="s">
        <v>14</v>
      </c>
      <c r="B11" s="106" t="s">
        <v>13</v>
      </c>
      <c r="C11" s="51">
        <v>3</v>
      </c>
      <c r="D11" s="47">
        <v>0</v>
      </c>
      <c r="E11" s="45">
        <v>0</v>
      </c>
      <c r="F11" s="42" t="s">
        <v>184</v>
      </c>
      <c r="G11" s="43" t="s">
        <v>101</v>
      </c>
    </row>
    <row r="12" spans="1:7" ht="18.75" x14ac:dyDescent="0.2">
      <c r="A12" s="118" t="s">
        <v>15</v>
      </c>
      <c r="B12" s="118"/>
      <c r="C12" s="118"/>
      <c r="D12" s="118"/>
      <c r="E12" s="118"/>
      <c r="F12" s="118"/>
      <c r="G12" s="118"/>
    </row>
    <row r="13" spans="1:7" ht="266.25" customHeight="1" x14ac:dyDescent="0.2">
      <c r="A13" s="6" t="s">
        <v>16</v>
      </c>
      <c r="B13" s="106" t="s">
        <v>17</v>
      </c>
      <c r="C13" s="51">
        <v>90</v>
      </c>
      <c r="D13" s="47">
        <v>62.5</v>
      </c>
      <c r="E13" s="45">
        <f>D13*100/C13</f>
        <v>69.444444444444443</v>
      </c>
      <c r="F13" s="42" t="s">
        <v>193</v>
      </c>
      <c r="G13" s="101" t="s">
        <v>102</v>
      </c>
    </row>
    <row r="14" spans="1:7" ht="273" customHeight="1" x14ac:dyDescent="0.2">
      <c r="A14" s="6" t="s">
        <v>18</v>
      </c>
      <c r="B14" s="106" t="s">
        <v>17</v>
      </c>
      <c r="C14" s="51">
        <v>90</v>
      </c>
      <c r="D14" s="47">
        <v>75</v>
      </c>
      <c r="E14" s="45">
        <f>D14*100/C14</f>
        <v>83.333333333333329</v>
      </c>
      <c r="F14" s="42" t="s">
        <v>193</v>
      </c>
      <c r="G14" s="101" t="s">
        <v>106</v>
      </c>
    </row>
    <row r="15" spans="1:7" ht="189" x14ac:dyDescent="0.2">
      <c r="A15" s="6" t="s">
        <v>84</v>
      </c>
      <c r="B15" s="106" t="s">
        <v>17</v>
      </c>
      <c r="C15" s="51">
        <v>90</v>
      </c>
      <c r="D15" s="47">
        <v>95</v>
      </c>
      <c r="E15" s="99">
        <v>100</v>
      </c>
      <c r="F15" s="42" t="s">
        <v>189</v>
      </c>
      <c r="G15" s="42" t="s">
        <v>107</v>
      </c>
    </row>
    <row r="16" spans="1:7" ht="24" customHeight="1" x14ac:dyDescent="0.2">
      <c r="A16" s="121" t="s">
        <v>19</v>
      </c>
      <c r="B16" s="121"/>
      <c r="C16" s="121"/>
      <c r="D16" s="121"/>
      <c r="E16" s="121"/>
      <c r="F16" s="121"/>
      <c r="G16" s="121"/>
    </row>
    <row r="17" spans="1:7" ht="24" customHeight="1" x14ac:dyDescent="0.2">
      <c r="A17" s="118" t="s">
        <v>20</v>
      </c>
      <c r="B17" s="118"/>
      <c r="C17" s="118"/>
      <c r="D17" s="118"/>
      <c r="E17" s="118"/>
      <c r="F17" s="118"/>
      <c r="G17" s="118"/>
    </row>
    <row r="18" spans="1:7" ht="49.5" customHeight="1" x14ac:dyDescent="0.2">
      <c r="A18" s="6" t="s">
        <v>21</v>
      </c>
      <c r="B18" s="106" t="s">
        <v>22</v>
      </c>
      <c r="C18" s="51">
        <v>130</v>
      </c>
      <c r="D18" s="47">
        <v>133</v>
      </c>
      <c r="E18" s="47">
        <v>100</v>
      </c>
      <c r="F18" s="42" t="s">
        <v>201</v>
      </c>
      <c r="G18" s="43" t="s">
        <v>108</v>
      </c>
    </row>
    <row r="19" spans="1:7" ht="67.5" customHeight="1" x14ac:dyDescent="0.2">
      <c r="A19" s="6" t="s">
        <v>23</v>
      </c>
      <c r="B19" s="106" t="s">
        <v>17</v>
      </c>
      <c r="C19" s="51">
        <v>80</v>
      </c>
      <c r="D19" s="45">
        <v>0</v>
      </c>
      <c r="E19" s="45">
        <f t="shared" ref="E19:E27" si="0">IF((D19*100)/C19&gt;=100,100,(D19*100)/C19)</f>
        <v>0</v>
      </c>
      <c r="F19" s="42" t="s">
        <v>184</v>
      </c>
      <c r="G19" s="43" t="s">
        <v>109</v>
      </c>
    </row>
    <row r="20" spans="1:7" ht="60.75" customHeight="1" x14ac:dyDescent="0.2">
      <c r="A20" s="6" t="s">
        <v>24</v>
      </c>
      <c r="B20" s="106" t="s">
        <v>17</v>
      </c>
      <c r="C20" s="51">
        <v>80</v>
      </c>
      <c r="D20" s="47">
        <v>74.290000000000006</v>
      </c>
      <c r="E20" s="45">
        <f t="shared" si="0"/>
        <v>92.862500000000011</v>
      </c>
      <c r="F20" s="42" t="s">
        <v>188</v>
      </c>
      <c r="G20" s="43" t="s">
        <v>110</v>
      </c>
    </row>
    <row r="21" spans="1:7" ht="51.75" customHeight="1" x14ac:dyDescent="0.2">
      <c r="A21" s="6" t="s">
        <v>25</v>
      </c>
      <c r="B21" s="106" t="s">
        <v>26</v>
      </c>
      <c r="C21" s="51">
        <v>4.4000000000000004</v>
      </c>
      <c r="D21" s="47" t="s">
        <v>91</v>
      </c>
      <c r="E21" s="47" t="s">
        <v>91</v>
      </c>
      <c r="F21" s="42" t="s">
        <v>189</v>
      </c>
      <c r="G21" s="43" t="s">
        <v>111</v>
      </c>
    </row>
    <row r="22" spans="1:7" ht="62.25" customHeight="1" x14ac:dyDescent="0.2">
      <c r="A22" s="6" t="s">
        <v>27</v>
      </c>
      <c r="B22" s="106" t="s">
        <v>28</v>
      </c>
      <c r="C22" s="52">
        <v>15000</v>
      </c>
      <c r="D22" s="48">
        <v>15840</v>
      </c>
      <c r="E22" s="45">
        <f t="shared" si="0"/>
        <v>100</v>
      </c>
      <c r="F22" s="42" t="s">
        <v>193</v>
      </c>
      <c r="G22" s="43" t="s">
        <v>112</v>
      </c>
    </row>
    <row r="23" spans="1:7" ht="84.75" customHeight="1" x14ac:dyDescent="0.2">
      <c r="A23" s="6" t="s">
        <v>29</v>
      </c>
      <c r="B23" s="106" t="s">
        <v>26</v>
      </c>
      <c r="C23" s="51">
        <v>3</v>
      </c>
      <c r="D23" s="47" t="s">
        <v>91</v>
      </c>
      <c r="E23" s="47" t="s">
        <v>91</v>
      </c>
      <c r="F23" s="42" t="s">
        <v>191</v>
      </c>
      <c r="G23" s="43" t="s">
        <v>113</v>
      </c>
    </row>
    <row r="24" spans="1:7" ht="107.25" customHeight="1" x14ac:dyDescent="0.2">
      <c r="A24" s="6" t="s">
        <v>30</v>
      </c>
      <c r="B24" s="106" t="s">
        <v>31</v>
      </c>
      <c r="C24" s="51">
        <v>2</v>
      </c>
      <c r="D24" s="47">
        <v>2</v>
      </c>
      <c r="E24" s="45">
        <f t="shared" si="0"/>
        <v>100</v>
      </c>
      <c r="F24" s="80" t="s">
        <v>182</v>
      </c>
      <c r="G24" s="42" t="s">
        <v>114</v>
      </c>
    </row>
    <row r="25" spans="1:7" ht="366" customHeight="1" x14ac:dyDescent="0.2">
      <c r="A25" s="54" t="s">
        <v>32</v>
      </c>
      <c r="B25" s="111" t="s">
        <v>33</v>
      </c>
      <c r="C25" s="57">
        <v>5</v>
      </c>
      <c r="D25" s="58">
        <v>19</v>
      </c>
      <c r="E25" s="59">
        <f t="shared" si="0"/>
        <v>100</v>
      </c>
      <c r="F25" s="114" t="s">
        <v>202</v>
      </c>
      <c r="G25" s="73" t="s">
        <v>115</v>
      </c>
    </row>
    <row r="26" spans="1:7" ht="166.5" customHeight="1" x14ac:dyDescent="0.2">
      <c r="A26" s="55"/>
      <c r="B26" s="112"/>
      <c r="C26" s="61"/>
      <c r="D26" s="62"/>
      <c r="E26" s="63"/>
      <c r="F26" s="115" t="s">
        <v>203</v>
      </c>
      <c r="G26" s="74"/>
    </row>
    <row r="27" spans="1:7" ht="140.25" customHeight="1" x14ac:dyDescent="0.2">
      <c r="A27" s="6" t="s">
        <v>34</v>
      </c>
      <c r="B27" s="7" t="s">
        <v>17</v>
      </c>
      <c r="C27" s="51">
        <v>90</v>
      </c>
      <c r="D27" s="47">
        <v>100</v>
      </c>
      <c r="E27" s="45">
        <f t="shared" si="0"/>
        <v>100</v>
      </c>
      <c r="F27" s="80" t="s">
        <v>181</v>
      </c>
      <c r="G27" s="42" t="s">
        <v>116</v>
      </c>
    </row>
    <row r="28" spans="1:7" ht="24" customHeight="1" x14ac:dyDescent="0.2">
      <c r="A28" s="118" t="s">
        <v>35</v>
      </c>
      <c r="B28" s="118"/>
      <c r="C28" s="118"/>
      <c r="D28" s="118"/>
      <c r="E28" s="118"/>
      <c r="F28" s="118"/>
      <c r="G28" s="118"/>
    </row>
    <row r="29" spans="1:7" ht="86.25" customHeight="1" x14ac:dyDescent="0.2">
      <c r="A29" s="6" t="s">
        <v>36</v>
      </c>
      <c r="B29" s="106" t="s">
        <v>28</v>
      </c>
      <c r="C29" s="52">
        <v>5167959</v>
      </c>
      <c r="D29" s="48">
        <v>9088219</v>
      </c>
      <c r="E29" s="45">
        <f>IF((D29*100)/C29&gt;=100,100,(D29*100)/C29)</f>
        <v>100</v>
      </c>
      <c r="F29" s="50" t="s">
        <v>160</v>
      </c>
      <c r="G29" s="43" t="s">
        <v>117</v>
      </c>
    </row>
    <row r="30" spans="1:7" ht="120" customHeight="1" x14ac:dyDescent="0.2">
      <c r="A30" s="6" t="s">
        <v>37</v>
      </c>
      <c r="B30" s="106" t="s">
        <v>17</v>
      </c>
      <c r="C30" s="51">
        <v>70</v>
      </c>
      <c r="D30" s="47">
        <v>60</v>
      </c>
      <c r="E30" s="45">
        <f t="shared" ref="E30:E43" si="1">IF((D30*100)/C30&gt;=100,100,(D30*100)/C30)</f>
        <v>85.714285714285708</v>
      </c>
      <c r="F30" s="50" t="s">
        <v>156</v>
      </c>
      <c r="G30" s="1" t="s">
        <v>118</v>
      </c>
    </row>
    <row r="31" spans="1:7" ht="373.5" customHeight="1" x14ac:dyDescent="0.2">
      <c r="A31" s="6" t="s">
        <v>38</v>
      </c>
      <c r="B31" s="106" t="s">
        <v>39</v>
      </c>
      <c r="C31" s="51">
        <v>3</v>
      </c>
      <c r="D31" s="47">
        <v>8</v>
      </c>
      <c r="E31" s="45">
        <f t="shared" si="1"/>
        <v>100</v>
      </c>
      <c r="F31" s="100" t="s">
        <v>155</v>
      </c>
      <c r="G31" s="1" t="s">
        <v>119</v>
      </c>
    </row>
    <row r="32" spans="1:7" ht="100.5" customHeight="1" x14ac:dyDescent="0.2">
      <c r="A32" s="6" t="s">
        <v>40</v>
      </c>
      <c r="B32" s="106" t="s">
        <v>17</v>
      </c>
      <c r="C32" s="51">
        <v>50</v>
      </c>
      <c r="D32" s="47">
        <v>106.25</v>
      </c>
      <c r="E32" s="45">
        <f t="shared" si="1"/>
        <v>100</v>
      </c>
      <c r="F32" s="77" t="s">
        <v>161</v>
      </c>
      <c r="G32" s="1" t="s">
        <v>120</v>
      </c>
    </row>
    <row r="33" spans="1:7" ht="93.75" x14ac:dyDescent="0.2">
      <c r="A33" s="6" t="s">
        <v>41</v>
      </c>
      <c r="B33" s="106" t="s">
        <v>17</v>
      </c>
      <c r="C33" s="51">
        <v>110</v>
      </c>
      <c r="D33" s="49">
        <v>1112.5</v>
      </c>
      <c r="E33" s="45">
        <f t="shared" si="1"/>
        <v>100</v>
      </c>
      <c r="F33" s="50" t="s">
        <v>157</v>
      </c>
      <c r="G33" s="1" t="s">
        <v>121</v>
      </c>
    </row>
    <row r="34" spans="1:7" ht="81.75" customHeight="1" x14ac:dyDescent="0.2">
      <c r="A34" s="6" t="s">
        <v>42</v>
      </c>
      <c r="B34" s="106" t="s">
        <v>43</v>
      </c>
      <c r="C34" s="51">
        <v>2</v>
      </c>
      <c r="D34" s="47">
        <v>1</v>
      </c>
      <c r="E34" s="45">
        <f t="shared" si="1"/>
        <v>50</v>
      </c>
      <c r="F34" s="50" t="s">
        <v>158</v>
      </c>
      <c r="G34" s="1" t="s">
        <v>122</v>
      </c>
    </row>
    <row r="35" spans="1:7" ht="83.25" customHeight="1" x14ac:dyDescent="0.2">
      <c r="A35" s="6" t="s">
        <v>44</v>
      </c>
      <c r="B35" s="106" t="s">
        <v>17</v>
      </c>
      <c r="C35" s="51">
        <v>60</v>
      </c>
      <c r="D35" s="47">
        <v>18.75</v>
      </c>
      <c r="E35" s="45">
        <f t="shared" si="1"/>
        <v>31.25</v>
      </c>
      <c r="F35" s="50" t="s">
        <v>162</v>
      </c>
      <c r="G35" s="1" t="s">
        <v>123</v>
      </c>
    </row>
    <row r="36" spans="1:7" ht="108.75" customHeight="1" x14ac:dyDescent="0.2">
      <c r="A36" s="6" t="s">
        <v>45</v>
      </c>
      <c r="B36" s="106" t="s">
        <v>46</v>
      </c>
      <c r="C36" s="51">
        <v>10</v>
      </c>
      <c r="D36" s="47">
        <v>15</v>
      </c>
      <c r="E36" s="45">
        <f t="shared" si="1"/>
        <v>100</v>
      </c>
      <c r="F36" s="50" t="s">
        <v>159</v>
      </c>
      <c r="G36" s="42" t="s">
        <v>124</v>
      </c>
    </row>
    <row r="37" spans="1:7" ht="21.75" customHeight="1" x14ac:dyDescent="0.2">
      <c r="A37" s="118" t="s">
        <v>47</v>
      </c>
      <c r="B37" s="118"/>
      <c r="C37" s="118"/>
      <c r="D37" s="118"/>
      <c r="E37" s="118"/>
      <c r="F37" s="118"/>
      <c r="G37" s="118"/>
    </row>
    <row r="38" spans="1:7" ht="50.25" customHeight="1" x14ac:dyDescent="0.2">
      <c r="A38" s="6" t="s">
        <v>48</v>
      </c>
      <c r="B38" s="106" t="s">
        <v>28</v>
      </c>
      <c r="C38" s="52">
        <v>745000</v>
      </c>
      <c r="D38" s="52">
        <v>745000</v>
      </c>
      <c r="E38" s="45">
        <f t="shared" si="1"/>
        <v>100</v>
      </c>
      <c r="F38" s="80" t="s">
        <v>183</v>
      </c>
      <c r="G38" s="43" t="s">
        <v>125</v>
      </c>
    </row>
    <row r="39" spans="1:7" ht="78" customHeight="1" x14ac:dyDescent="0.2">
      <c r="A39" s="6" t="s">
        <v>49</v>
      </c>
      <c r="B39" s="106" t="s">
        <v>26</v>
      </c>
      <c r="C39" s="51">
        <v>4</v>
      </c>
      <c r="D39" s="47" t="s">
        <v>91</v>
      </c>
      <c r="E39" s="47" t="s">
        <v>91</v>
      </c>
      <c r="F39" s="81" t="s">
        <v>172</v>
      </c>
      <c r="G39" s="42" t="s">
        <v>126</v>
      </c>
    </row>
    <row r="40" spans="1:7" ht="108.75" customHeight="1" x14ac:dyDescent="0.2">
      <c r="A40" s="6" t="s">
        <v>50</v>
      </c>
      <c r="B40" s="106" t="s">
        <v>13</v>
      </c>
      <c r="C40" s="51">
        <v>5</v>
      </c>
      <c r="D40" s="47">
        <v>1.67</v>
      </c>
      <c r="E40" s="47">
        <f>D40*100/C40</f>
        <v>33.4</v>
      </c>
      <c r="F40" s="116" t="s">
        <v>204</v>
      </c>
      <c r="G40" s="42" t="s">
        <v>127</v>
      </c>
    </row>
    <row r="41" spans="1:7" ht="18.75" x14ac:dyDescent="0.2">
      <c r="A41" s="118" t="s">
        <v>51</v>
      </c>
      <c r="B41" s="118"/>
      <c r="C41" s="118"/>
      <c r="D41" s="118"/>
      <c r="E41" s="118"/>
      <c r="F41" s="118"/>
      <c r="G41" s="118"/>
    </row>
    <row r="42" spans="1:7" ht="50.25" customHeight="1" x14ac:dyDescent="0.2">
      <c r="A42" s="6" t="s">
        <v>52</v>
      </c>
      <c r="B42" s="106" t="s">
        <v>17</v>
      </c>
      <c r="C42" s="51">
        <v>80</v>
      </c>
      <c r="D42" s="47" t="s">
        <v>91</v>
      </c>
      <c r="E42" s="47" t="s">
        <v>91</v>
      </c>
      <c r="F42" s="82" t="s">
        <v>184</v>
      </c>
      <c r="G42" s="43" t="s">
        <v>128</v>
      </c>
    </row>
    <row r="43" spans="1:7" ht="105.75" customHeight="1" x14ac:dyDescent="0.2">
      <c r="A43" s="6" t="s">
        <v>53</v>
      </c>
      <c r="B43" s="106" t="s">
        <v>46</v>
      </c>
      <c r="C43" s="51">
        <v>5</v>
      </c>
      <c r="D43" s="47">
        <v>0</v>
      </c>
      <c r="E43" s="45">
        <f t="shared" si="1"/>
        <v>0</v>
      </c>
      <c r="F43" s="82" t="s">
        <v>174</v>
      </c>
      <c r="G43" s="42" t="s">
        <v>129</v>
      </c>
    </row>
    <row r="44" spans="1:7" ht="21.75" customHeight="1" x14ac:dyDescent="0.2">
      <c r="A44" s="122" t="s">
        <v>54</v>
      </c>
      <c r="B44" s="122"/>
      <c r="C44" s="122"/>
      <c r="D44" s="122"/>
      <c r="E44" s="122"/>
      <c r="F44" s="122"/>
      <c r="G44" s="122"/>
    </row>
    <row r="45" spans="1:7" ht="21.75" customHeight="1" x14ac:dyDescent="0.2">
      <c r="A45" s="118" t="s">
        <v>55</v>
      </c>
      <c r="B45" s="118"/>
      <c r="C45" s="118"/>
      <c r="D45" s="118"/>
      <c r="E45" s="118"/>
      <c r="F45" s="118"/>
      <c r="G45" s="118"/>
    </row>
    <row r="46" spans="1:7" ht="63.75" customHeight="1" x14ac:dyDescent="0.2">
      <c r="A46" s="6" t="s">
        <v>56</v>
      </c>
      <c r="B46" s="107" t="s">
        <v>22</v>
      </c>
      <c r="C46" s="51">
        <v>2</v>
      </c>
      <c r="D46" s="47">
        <v>1</v>
      </c>
      <c r="E46" s="45">
        <f t="shared" ref="E46:E54" si="2">IF((D46*100)/C46&gt;=100,100,(D46*100)/C46)</f>
        <v>50</v>
      </c>
      <c r="F46" s="82" t="s">
        <v>175</v>
      </c>
      <c r="G46" s="43" t="s">
        <v>130</v>
      </c>
    </row>
    <row r="47" spans="1:7" ht="198" customHeight="1" x14ac:dyDescent="0.2">
      <c r="A47" s="54" t="s">
        <v>57</v>
      </c>
      <c r="B47" s="109" t="s">
        <v>22</v>
      </c>
      <c r="C47" s="57">
        <v>4</v>
      </c>
      <c r="D47" s="58">
        <v>2</v>
      </c>
      <c r="E47" s="59">
        <f t="shared" si="2"/>
        <v>50</v>
      </c>
      <c r="F47" s="78" t="s">
        <v>165</v>
      </c>
      <c r="G47" s="69" t="s">
        <v>131</v>
      </c>
    </row>
    <row r="48" spans="1:7" ht="199.5" customHeight="1" x14ac:dyDescent="0.2">
      <c r="A48" s="64"/>
      <c r="B48" s="110"/>
      <c r="C48" s="66"/>
      <c r="D48" s="67"/>
      <c r="E48" s="68"/>
      <c r="F48" s="97" t="s">
        <v>164</v>
      </c>
      <c r="G48" s="70"/>
    </row>
    <row r="49" spans="1:7" ht="151.5" customHeight="1" x14ac:dyDescent="0.2">
      <c r="A49" s="55"/>
      <c r="B49" s="108"/>
      <c r="C49" s="61"/>
      <c r="D49" s="62"/>
      <c r="E49" s="63"/>
      <c r="F49" s="97"/>
      <c r="G49" s="98"/>
    </row>
    <row r="50" spans="1:7" ht="103.5" customHeight="1" x14ac:dyDescent="0.2">
      <c r="A50" s="126" t="s">
        <v>58</v>
      </c>
      <c r="B50" s="109" t="s">
        <v>22</v>
      </c>
      <c r="C50" s="57">
        <v>30</v>
      </c>
      <c r="D50" s="58">
        <f>18+28</f>
        <v>46</v>
      </c>
      <c r="E50" s="59">
        <f t="shared" si="2"/>
        <v>100</v>
      </c>
      <c r="F50" s="79" t="s">
        <v>167</v>
      </c>
      <c r="G50" s="69" t="s">
        <v>132</v>
      </c>
    </row>
    <row r="51" spans="1:7" ht="72.75" customHeight="1" x14ac:dyDescent="0.2">
      <c r="A51" s="127"/>
      <c r="B51" s="110"/>
      <c r="C51" s="66"/>
      <c r="D51" s="67"/>
      <c r="E51" s="68"/>
      <c r="F51" s="79" t="s">
        <v>170</v>
      </c>
      <c r="G51" s="70"/>
    </row>
    <row r="52" spans="1:7" ht="88.5" customHeight="1" x14ac:dyDescent="0.2">
      <c r="A52" s="64"/>
      <c r="B52" s="110"/>
      <c r="C52" s="66"/>
      <c r="D52" s="67"/>
      <c r="E52" s="68"/>
      <c r="F52" s="79" t="s">
        <v>171</v>
      </c>
      <c r="G52" s="70"/>
    </row>
    <row r="53" spans="1:7" ht="117" customHeight="1" x14ac:dyDescent="0.2">
      <c r="A53" s="55"/>
      <c r="B53" s="108"/>
      <c r="C53" s="61"/>
      <c r="D53" s="62"/>
      <c r="E53" s="63"/>
      <c r="F53" s="79" t="s">
        <v>205</v>
      </c>
      <c r="G53" s="98"/>
    </row>
    <row r="54" spans="1:7" ht="129.75" customHeight="1" x14ac:dyDescent="0.2">
      <c r="A54" s="54" t="s">
        <v>59</v>
      </c>
      <c r="B54" s="111" t="s">
        <v>46</v>
      </c>
      <c r="C54" s="57">
        <v>4</v>
      </c>
      <c r="D54" s="58">
        <v>3</v>
      </c>
      <c r="E54" s="59">
        <f t="shared" si="2"/>
        <v>75</v>
      </c>
      <c r="F54" s="78" t="s">
        <v>168</v>
      </c>
      <c r="G54" s="73" t="s">
        <v>133</v>
      </c>
    </row>
    <row r="55" spans="1:7" ht="114.75" customHeight="1" x14ac:dyDescent="0.2">
      <c r="A55" s="64"/>
      <c r="B55" s="113"/>
      <c r="C55" s="66"/>
      <c r="D55" s="67"/>
      <c r="E55" s="68"/>
      <c r="F55" s="78" t="s">
        <v>169</v>
      </c>
      <c r="G55" s="104"/>
    </row>
    <row r="56" spans="1:7" ht="82.5" customHeight="1" x14ac:dyDescent="0.2">
      <c r="A56" s="55"/>
      <c r="B56" s="112"/>
      <c r="C56" s="61"/>
      <c r="D56" s="62"/>
      <c r="E56" s="63"/>
      <c r="F56" s="78" t="s">
        <v>206</v>
      </c>
      <c r="G56" s="74"/>
    </row>
    <row r="57" spans="1:7" ht="112.5" customHeight="1" x14ac:dyDescent="0.2">
      <c r="A57" s="6" t="s">
        <v>60</v>
      </c>
      <c r="B57" s="106" t="s">
        <v>17</v>
      </c>
      <c r="C57" s="51">
        <v>55</v>
      </c>
      <c r="D57" s="47" t="s">
        <v>91</v>
      </c>
      <c r="E57" s="47" t="s">
        <v>91</v>
      </c>
      <c r="F57" s="82" t="s">
        <v>184</v>
      </c>
      <c r="G57" s="42" t="s">
        <v>134</v>
      </c>
    </row>
    <row r="58" spans="1:7" ht="21.75" customHeight="1" x14ac:dyDescent="0.2">
      <c r="A58" s="121" t="s">
        <v>61</v>
      </c>
      <c r="B58" s="121"/>
      <c r="C58" s="121"/>
      <c r="D58" s="121"/>
      <c r="E58" s="121"/>
      <c r="F58" s="121"/>
      <c r="G58" s="121"/>
    </row>
    <row r="59" spans="1:7" ht="21.75" customHeight="1" x14ac:dyDescent="0.2">
      <c r="A59" s="118" t="s">
        <v>62</v>
      </c>
      <c r="B59" s="118"/>
      <c r="C59" s="118"/>
      <c r="D59" s="118"/>
      <c r="E59" s="118"/>
      <c r="F59" s="118"/>
      <c r="G59" s="118"/>
    </row>
    <row r="60" spans="1:7" ht="99.75" customHeight="1" x14ac:dyDescent="0.2">
      <c r="A60" s="6" t="s">
        <v>63</v>
      </c>
      <c r="B60" s="106" t="s">
        <v>22</v>
      </c>
      <c r="C60" s="51">
        <v>4</v>
      </c>
      <c r="D60" s="47">
        <v>0</v>
      </c>
      <c r="E60" s="45">
        <f t="shared" ref="E60:E63" si="3">IF((D60*100)/C60&gt;=100,100,(D60*100)/C60)</f>
        <v>0</v>
      </c>
      <c r="F60" s="82" t="s">
        <v>184</v>
      </c>
      <c r="G60" s="43" t="s">
        <v>135</v>
      </c>
    </row>
    <row r="61" spans="1:7" ht="84.75" customHeight="1" x14ac:dyDescent="0.2">
      <c r="A61" s="126" t="s">
        <v>64</v>
      </c>
      <c r="B61" s="129" t="s">
        <v>65</v>
      </c>
      <c r="C61" s="131">
        <v>2</v>
      </c>
      <c r="D61" s="133">
        <v>2</v>
      </c>
      <c r="E61" s="135">
        <f t="shared" si="3"/>
        <v>100</v>
      </c>
      <c r="F61" s="82" t="s">
        <v>176</v>
      </c>
      <c r="G61" s="137" t="s">
        <v>136</v>
      </c>
    </row>
    <row r="62" spans="1:7" ht="114" customHeight="1" x14ac:dyDescent="0.2">
      <c r="A62" s="128"/>
      <c r="B62" s="130"/>
      <c r="C62" s="132"/>
      <c r="D62" s="134"/>
      <c r="E62" s="136"/>
      <c r="F62" s="82" t="s">
        <v>198</v>
      </c>
      <c r="G62" s="138"/>
    </row>
    <row r="63" spans="1:7" ht="153.75" customHeight="1" x14ac:dyDescent="0.2">
      <c r="A63" s="54" t="s">
        <v>66</v>
      </c>
      <c r="B63" s="111" t="s">
        <v>13</v>
      </c>
      <c r="C63" s="57">
        <v>5</v>
      </c>
      <c r="D63" s="75">
        <v>4</v>
      </c>
      <c r="E63" s="59">
        <f t="shared" si="3"/>
        <v>80</v>
      </c>
      <c r="F63" s="83" t="s">
        <v>177</v>
      </c>
      <c r="G63" s="137" t="s">
        <v>137</v>
      </c>
    </row>
    <row r="64" spans="1:7" ht="128.25" customHeight="1" x14ac:dyDescent="0.2">
      <c r="A64" s="64"/>
      <c r="B64" s="113"/>
      <c r="C64" s="66"/>
      <c r="D64" s="94"/>
      <c r="E64" s="68"/>
      <c r="F64" s="83" t="s">
        <v>196</v>
      </c>
      <c r="G64" s="139"/>
    </row>
    <row r="65" spans="1:7" ht="39.75" customHeight="1" x14ac:dyDescent="0.2">
      <c r="A65" s="64"/>
      <c r="B65" s="113"/>
      <c r="C65" s="66"/>
      <c r="D65" s="94"/>
      <c r="E65" s="68"/>
      <c r="F65" s="83" t="s">
        <v>178</v>
      </c>
      <c r="G65" s="139"/>
    </row>
    <row r="66" spans="1:7" ht="258" customHeight="1" x14ac:dyDescent="0.2">
      <c r="A66" s="55"/>
      <c r="B66" s="112"/>
      <c r="C66" s="61"/>
      <c r="D66" s="76"/>
      <c r="E66" s="63"/>
      <c r="F66" s="83" t="s">
        <v>197</v>
      </c>
      <c r="G66" s="74"/>
    </row>
    <row r="67" spans="1:7" ht="18.75" x14ac:dyDescent="0.2">
      <c r="A67" s="121" t="s">
        <v>67</v>
      </c>
      <c r="B67" s="121"/>
      <c r="C67" s="121"/>
      <c r="D67" s="121"/>
      <c r="E67" s="121"/>
      <c r="F67" s="121"/>
      <c r="G67" s="121"/>
    </row>
    <row r="68" spans="1:7" ht="18.75" x14ac:dyDescent="0.2">
      <c r="A68" s="118" t="s">
        <v>68</v>
      </c>
      <c r="B68" s="118"/>
      <c r="C68" s="118"/>
      <c r="D68" s="118"/>
      <c r="E68" s="118"/>
      <c r="F68" s="118"/>
      <c r="G68" s="118"/>
    </row>
    <row r="69" spans="1:7" ht="170.25" customHeight="1" x14ac:dyDescent="0.2">
      <c r="A69" s="6" t="s">
        <v>69</v>
      </c>
      <c r="B69" s="106" t="s">
        <v>13</v>
      </c>
      <c r="C69" s="51">
        <v>5</v>
      </c>
      <c r="D69" s="47" t="s">
        <v>91</v>
      </c>
      <c r="E69" s="47" t="s">
        <v>91</v>
      </c>
      <c r="F69" s="82" t="s">
        <v>179</v>
      </c>
      <c r="G69" s="102" t="s">
        <v>138</v>
      </c>
    </row>
    <row r="70" spans="1:7" ht="59.25" customHeight="1" x14ac:dyDescent="0.2">
      <c r="A70" s="6" t="s">
        <v>70</v>
      </c>
      <c r="B70" s="106" t="s">
        <v>17</v>
      </c>
      <c r="C70" s="51">
        <v>68.75</v>
      </c>
      <c r="D70" s="47">
        <v>80</v>
      </c>
      <c r="E70" s="45">
        <f t="shared" ref="E70" si="4">IF((D70*100)/C70&gt;=100,100,(D70*100)/C70)</f>
        <v>100</v>
      </c>
      <c r="F70" s="80" t="s">
        <v>180</v>
      </c>
      <c r="G70" s="42" t="s">
        <v>139</v>
      </c>
    </row>
    <row r="71" spans="1:7" ht="81.75" customHeight="1" x14ac:dyDescent="0.2">
      <c r="A71" s="6" t="s">
        <v>71</v>
      </c>
      <c r="B71" s="106" t="s">
        <v>17</v>
      </c>
      <c r="C71" s="51">
        <v>80</v>
      </c>
      <c r="D71" s="47" t="s">
        <v>91</v>
      </c>
      <c r="E71" s="47" t="s">
        <v>91</v>
      </c>
      <c r="F71" s="42" t="s">
        <v>189</v>
      </c>
      <c r="G71" s="42" t="s">
        <v>140</v>
      </c>
    </row>
    <row r="72" spans="1:7" ht="18.75" x14ac:dyDescent="0.2">
      <c r="A72" s="118" t="s">
        <v>72</v>
      </c>
      <c r="B72" s="118"/>
      <c r="C72" s="118"/>
      <c r="D72" s="118"/>
      <c r="E72" s="118"/>
      <c r="F72" s="118"/>
      <c r="G72" s="118"/>
    </row>
    <row r="73" spans="1:7" ht="76.5" customHeight="1" x14ac:dyDescent="0.2">
      <c r="A73" s="6" t="s">
        <v>73</v>
      </c>
      <c r="B73" s="106" t="s">
        <v>17</v>
      </c>
      <c r="C73" s="51">
        <v>95</v>
      </c>
      <c r="D73" s="47">
        <v>36.72</v>
      </c>
      <c r="E73" s="45">
        <f t="shared" ref="E73:E77" si="5">IF((D73*100)/C73&gt;=100,100,(D73*100)/C73)</f>
        <v>38.652631578947371</v>
      </c>
      <c r="F73" s="42" t="s">
        <v>207</v>
      </c>
      <c r="G73" s="42" t="s">
        <v>141</v>
      </c>
    </row>
    <row r="74" spans="1:7" ht="134.25" customHeight="1" x14ac:dyDescent="0.2">
      <c r="A74" s="6" t="s">
        <v>74</v>
      </c>
      <c r="B74" s="106" t="s">
        <v>28</v>
      </c>
      <c r="C74" s="87">
        <v>500000</v>
      </c>
      <c r="D74" s="86">
        <v>101154.52</v>
      </c>
      <c r="E74" s="45">
        <f t="shared" si="5"/>
        <v>20.230903999999999</v>
      </c>
      <c r="F74" s="117" t="s">
        <v>185</v>
      </c>
      <c r="G74" s="43" t="s">
        <v>142</v>
      </c>
    </row>
    <row r="75" spans="1:7" ht="67.5" customHeight="1" x14ac:dyDescent="0.2">
      <c r="A75" s="6" t="s">
        <v>75</v>
      </c>
      <c r="B75" s="106" t="s">
        <v>28</v>
      </c>
      <c r="C75" s="52">
        <v>25428081</v>
      </c>
      <c r="D75" s="85">
        <v>25453398.210000001</v>
      </c>
      <c r="E75" s="45">
        <f t="shared" si="5"/>
        <v>100</v>
      </c>
      <c r="F75" s="42" t="s">
        <v>186</v>
      </c>
      <c r="G75" s="42" t="s">
        <v>143</v>
      </c>
    </row>
    <row r="76" spans="1:7" ht="56.25" x14ac:dyDescent="0.2">
      <c r="A76" s="6" t="s">
        <v>76</v>
      </c>
      <c r="B76" s="106" t="s">
        <v>17</v>
      </c>
      <c r="C76" s="51" t="s">
        <v>77</v>
      </c>
      <c r="D76" s="47" t="s">
        <v>91</v>
      </c>
      <c r="E76" s="47" t="s">
        <v>91</v>
      </c>
      <c r="F76" s="42" t="s">
        <v>189</v>
      </c>
      <c r="G76" s="43" t="s">
        <v>144</v>
      </c>
    </row>
    <row r="77" spans="1:7" ht="97.5" customHeight="1" x14ac:dyDescent="0.2">
      <c r="A77" s="6" t="s">
        <v>78</v>
      </c>
      <c r="B77" s="106" t="s">
        <v>13</v>
      </c>
      <c r="C77" s="53">
        <v>5</v>
      </c>
      <c r="D77" s="47">
        <v>5</v>
      </c>
      <c r="E77" s="45">
        <f t="shared" si="5"/>
        <v>100</v>
      </c>
      <c r="F77" s="42" t="s">
        <v>190</v>
      </c>
      <c r="G77" s="42" t="s">
        <v>145</v>
      </c>
    </row>
    <row r="78" spans="1:7" s="90" customFormat="1" ht="22.5" customHeight="1" x14ac:dyDescent="0.35">
      <c r="A78" s="123" t="s">
        <v>194</v>
      </c>
      <c r="B78" s="124"/>
      <c r="C78" s="124"/>
      <c r="D78" s="125"/>
      <c r="E78" s="89">
        <f>AVERAGE(E7,E8,E9,E10,E11,E13,E14,E15,E19,E20,E22,E24,E25,E27,E29,E30,E31,E32,E33,E34,E35,E36,E38,E43,E46,E47,E50,E54,E60,E61,E63,E70,E73,E74,E75,E77)</f>
        <v>72.31697711094688</v>
      </c>
      <c r="F78" s="91"/>
    </row>
    <row r="79" spans="1:7" s="90" customFormat="1" ht="23.25" customHeight="1" x14ac:dyDescent="0.35">
      <c r="A79" s="123" t="s">
        <v>97</v>
      </c>
      <c r="B79" s="124"/>
      <c r="C79" s="124"/>
      <c r="D79" s="125"/>
      <c r="E79" s="89">
        <f>E78*5/100</f>
        <v>3.6158488555473438</v>
      </c>
      <c r="F79" s="92"/>
    </row>
  </sheetData>
  <mergeCells count="27">
    <mergeCell ref="A79:D79"/>
    <mergeCell ref="A50:A51"/>
    <mergeCell ref="A58:G58"/>
    <mergeCell ref="A59:G59"/>
    <mergeCell ref="A61:A62"/>
    <mergeCell ref="B61:B62"/>
    <mergeCell ref="C61:C62"/>
    <mergeCell ref="D61:D62"/>
    <mergeCell ref="E61:E62"/>
    <mergeCell ref="G61:G62"/>
    <mergeCell ref="G63:G65"/>
    <mergeCell ref="A67:G67"/>
    <mergeCell ref="A68:G68"/>
    <mergeCell ref="A72:G72"/>
    <mergeCell ref="A78:D78"/>
    <mergeCell ref="A45:G45"/>
    <mergeCell ref="A2:G2"/>
    <mergeCell ref="A3:G3"/>
    <mergeCell ref="A5:G5"/>
    <mergeCell ref="A6:G6"/>
    <mergeCell ref="A12:G12"/>
    <mergeCell ref="A16:G16"/>
    <mergeCell ref="A17:G17"/>
    <mergeCell ref="A28:G28"/>
    <mergeCell ref="A37:G37"/>
    <mergeCell ref="A41:G41"/>
    <mergeCell ref="A44:G44"/>
  </mergeCells>
  <hyperlinks>
    <hyperlink ref="F33" r:id="rId1" display="ในปีงบประมาณ 2569 คณะฯ มีผลการดำเนินงานด้านบทความวิจัยที่ได้รับการอ้างอิง (Citation) ใน Refereed journal หรือในฐานข้อมูลระดับนานาชาติ จำนวน 178 เรื่อง (ข้อมูลวันที่ 27 มีนาคม 2569) ต่ออาจารย์ประจำที่ปฏิบัติงานจริงและลาศึกษาต่อ จำนวน 16 คน คิดเป็นร้อยละ 1,112.50" xr:uid="{CCC95D09-EE3F-40CD-84AA-0AFE88891989}"/>
    <hyperlink ref="F29" r:id="rId2" display="ในปีงบประมาณ 2569 คณะฯ มีเงินสนับสนุนงานวิจัย จำนวน 9,088,219 บาท โดยแบ่งออกเป็นแหล่งทุนงานวิจัยภายใน จำนวน 2,034,440 บาท และเป็นทุนงานวิจัยจากภายนอก จำนวน 7,053,779 บาท ต่ออาจารย์ประจำที่ปฏิบัติงานจริง จำนวน 15 คน ดังนั้น จึงคิดเป็นจำนวน 605,881.27 บาท ต่อคน" xr:uid="{56103629-DD1D-44B4-9F79-0AB8F0D41198}"/>
    <hyperlink ref="F30" r:id="rId3" display="https://erp.mju.ac.th/openFile.aspx?id=Nzc3MTMw&amp;method=inline" xr:uid="{D01BD64B-4D94-4B98-9526-0E1E96EE5A70}"/>
    <hyperlink ref="F31" r:id="rId4" display="https://erp.mju.ac.th/openFile.aspx?id=Nzc3MTMy&amp;method=inline" xr:uid="{32D66A29-D780-42D9-A375-17B94F26C825}"/>
    <hyperlink ref="F34" r:id="rId5" display="https://erp.mju.ac.th/openFile.aspx?id=Nzc3MTM1&amp;method=inline" xr:uid="{18072927-F2BA-40B8-B27F-A65D04CC50DD}"/>
    <hyperlink ref="F36" r:id="rId6" xr:uid="{9109E856-C17F-4EF2-AEBE-17B106CB9574}"/>
    <hyperlink ref="F32" r:id="rId7" display="https://erp.mju.ac.th/openFile.aspx?id=Nzc3MTM0&amp;method=inline" xr:uid="{E1AAC9A7-004C-4AE8-9245-C3F33C0B82A0}"/>
    <hyperlink ref="F35" r:id="rId8" xr:uid="{B70B82D9-6841-441D-A09C-4467EC98C2AC}"/>
    <hyperlink ref="F47" r:id="rId9" display="วันที่ 24 – 28 พฤศจิกายน 2568 รศ.ดร.อภินันท์ สุวรรณรักษ์ ได้เข้าร่วมงานประชุมวิชาการ “2025 Southeast Asia Biodiversity Workshop; Conservation, Restoration, and Sustainable Use of Biodiversity in Southeast Asia,” พร้อมทั้งนำเสนอผลงานทางวิชาการ เรื่อง Alien Fish Species and the Sustainability of Freshwater Fisheries in Thailand ณ XTBG in Menglun Town, Mengla County, Xishuangbanna, Yunnan Province, China นอกจากนี้ ยังได้รับเชิญเป็นวิทยากรบรรยายพิเศษ เรื่อง Chinese Academy of Science Freshwater Fish of Thailand: Biodiversity • Ecology • Conservation • Human Livelihoods ให้กับนักศึกษาระดับบัณฑิตศึกษา ณ Kunming Institute of Zoology, University of Academy Chinese of Science สาธารณรัฐประชาชนจีน" xr:uid="{28B94DAD-90F9-4E97-B2F1-6D7A25A2A4FD}"/>
    <hyperlink ref="F48" r:id="rId10" display="เมื่อวันที่ 10 – 13 มีนาคม 2569 อาจารย์ ดร.โดม อดุลย์สุข รองคณบดีฝ่ายพัฒนานักศึกษาและกิจการพิเศษ ได้เข้าร่วมการประชุมเชิงปฏิบัติการ Follow-up ASEAN IVO Project Meeting and Workshop เรื่อง “AI-Powered Smart Automation with CODESYS &amp; Web HMI for Smart Farming” ภายใต้โครงการ AI-Driven Smart Horticulture for Climate Sensitive Plant using Soil Analysis and Image Processing : A Tropical Perspective พร้อมทั้งร่วมบรรยายและนำเสนอผลงานด้าน Smart Farm และการประยุกต์ใช้ AI ในงานด้านการประมง รวมถึงฝึกอบรมเชิงปฏิบัติการในหัวข้อ AI, Image Processing และการเขียนโปรแกรม PLC/PAC ด้วย CODESYS ให้แก่อาจารย์ นักวิจัย และนักศึกษา ณ Faculty of Engineering, National University of Laos นครหลวงเวียงจันทร์ สาธารณรัฐประชาธิปไตยประชาชนลาว " xr:uid="{123DA0E0-D489-4355-AA61-7CDD235277DB}"/>
    <hyperlink ref="F50" r:id="rId11" display="นายสุชน สมคิด นักศึกษาระดับปริญญาโท เข้าร่วมฝึกอบรมหลักสูตรระยะสั้นในหัวข้อ “Agricultural Productivity and Sustainability” ภายใต้โครงการความร่วมมือของ Southeast Asian Regional Center for Graduate Study and Research in Agriculture (SEARCA) และ the University Consortium (UC) ณ Central Luzon State University, Philippines ในระหว่างวันที่ 16 – 30 พฤศจิกายน 2568" xr:uid="{FCC72310-364B-4E5B-BFF3-DAA55D98FC43}"/>
    <hyperlink ref="F54" r:id="rId12" display="รศ.ดร.อภินันท์ สุวรรณรักษ์ ได้รับเชิญเป็นวิทยากรบรรยายพิเศษ เรื่อง Chinese Academy of Science Freshwater Fish of Thailand: Biodiversity • Ecology • Conservation • Human Livelihoods ให้กับนักศึกษาระดับบัณฑิตศึกษา เมื่อวันที่ 28 พ.ย. 68 ณ Kunming Institute of Zoology, University of Academy Chinese of Science สาธารณรัฐประชาชนจีน พร้อมทั้งหารือความร่วมมือทางวิชาการเพื่อการแลกเปลี่ยนทั้งบุคลากรและนักศึกษา รวมถึงความร่วมมืองานวิจัยทางการประมงในประเทศพม่าอีกด้วย" xr:uid="{B899506D-E8B6-4F3F-8223-1A2A29AD0F5B}"/>
    <hyperlink ref="F55" r:id="rId13" display="อ.ดร.โดม อดุลย์สุข ได้รับเชิญเป็นวิทยากรบรรยายและนำเสนอผลงานด้าน Smart Farm และการประยุกต์ใช้ AI ในงานด้านการประมง รวมถึงฝึกอบรมเชิงปฏิบัติการในหัวข้อ AI, Image Processing และการเขียนโปรแกรม PLC/PAC ด้วย CODESYS ให้แก่อาจารย์ นักวิจัย และนักศึกษา เมื่อวันที่ 10-12 มี.ค. 69 ณ Faculty of Engineering, National University of Laos นครหลวงเวียงจันทร์ สาธารณรัฐประชาธิปไตยประชาชนลาว" xr:uid="{A31DEEC9-4EAB-4015-B104-A43956368F5E}"/>
    <hyperlink ref="F51" r:id="rId14" location="2" xr:uid="{FC1CA3F8-9823-43FF-A27B-59A7F3C0B404}"/>
    <hyperlink ref="F52" r:id="rId15" display="คณะเทคโนโลยีการประมงและทรัพยากรทางน้ำ ให้การต้อนรับนักวิชาการและเจ้าหน้าที่ของมูลนิธิเอคโค่ ประเทศไทย จังหวัดเชียงใหม่ จำนวน 16 คน เพื่อเข้าศึกษาดูงาน ในหัวข้อ “การเลี้ยงปลาทับทิมแบบครบวงจร” โดยมีคณาจารย์ของคณะให้การต้อนรับ และร่วมเป็นวิทยากร เมื่อวันที่ 24 ต.ค. 68" xr:uid="{F51394B7-D37B-4D1B-8CAB-1954218B56BE}"/>
    <hyperlink ref="F63" r:id="rId16" display="A. คณะมีนโยบายส่งเสริมด้านการพัฒนาเทคโนโลยีและนวัตกรรมเพื่อเร่งพัฒนาผู้ประกอบการ ตามแผนแผนพัฒนาการศึกษาคณะเทคโนโลยีการประมงและทรัพยากรทางน้ำฉบับที่ 13 (พ.ศ.2566 - 2570) และแผนปฏิบัติการประจำปี พ.ศ. 2569 ในประเด็นยุทธศาสตร์ที่ 4 การขับเคลื่อนสู่การเป็นมหาวิทยาลัยด้านการพัฒนาเทคโนโลยีและส่งเสริมการสร้างนวัตกรรม (Technology Development and Innovation University)  เป้าประสงค์ที่ 4.1 เป็นมหาวิทยาลัยด้านการพัฒนาเทคโนโลยีและส่งเสริมการสร้างวัตกรรม (Technology Development and Innovation)" xr:uid="{9EBB7837-DF33-44E2-9602-71F8FC4AC69A}"/>
    <hyperlink ref="F65" r:id="rId17" xr:uid="{262FCE26-D884-4DAA-8A9E-04D315DBB420}"/>
    <hyperlink ref="F27" r:id="rId18" xr:uid="{B26707AA-3207-4D46-B419-5681E61F4663}"/>
    <hyperlink ref="F24" r:id="rId19" display="https://erp.mju.ac.th/openFile.aspx?id=NzgxMzg2&amp;method=inline" xr:uid="{3E9B84BA-5BBC-4640-AFBC-6FF9FBB7189C}"/>
    <hyperlink ref="F38" r:id="rId20" xr:uid="{59555D51-C65B-4AD0-AB98-7BF9C1635FDF}"/>
    <hyperlink ref="F70" r:id="rId21" xr:uid="{ED92A1A3-83B7-4320-BB7B-459FBAB139E3}"/>
    <hyperlink ref="F64" r:id="rId22" display="B. คณะมีเครือข่ายผู้ประกอบการด้านเทคโนโลยีและนวัตกรรม เพื่อเร่งพัฒนาผู้ประกอบการ ทั้งความร่วมมือจากหน่วยงานภายใน ได้แก่ อาคารแปรรูปนวัตกรรมการแปรรูปผลิตภัณฑ์ประมง (Nexfish Factory) ศูนย์ความเป็นเลิศด้านนวัตกรรมทางการเกษตรสำหรับบัณฑิตผู้ประกอบการ (Agri Inno) อุทยานวิทยาศาสตร์เทคโนโลยีเกษตรและอาหาร ม.แม่โจ้ (MAP) และภายนอกมหาวิทยาลัยแม่โจ้ ได้แก่ GO Wholesale (โก โฮลเซลล์) ศูนย์ค้าส่งอาหารเพื่อผู้ประกอบการ ภายใต้การดำเนินงานของ บริษัท เซ็นทรัล ฟู้ด โฮลเซลล์ จำกัด ในเครือเซ็นทรัล รีเทล" xr:uid="{966B9B52-DD71-4CAC-A725-3A03BC943DB4}"/>
    <hyperlink ref="F66" r:id="rId23" display="E. คณะมี Platform กลางด้านเทคโนโลยีและนวัตกรรม เพื่อเร่งพัฒนาผู้ประกอบการ  โดยรูปแบบหลักๆ จะเป็นการสนับสนุนให้นักศึกษาได้เรียนรู้และได้รับประสบการณ์ ณ สถานที่จริงในด้านเทคโนโลยีนวัตกรรมและการเป็นผู้ประกอบการ ผ่านการเรียนรู้ในรูปแบบ Project-based learning ที่ส่งเสริมให้นักศึกษาทำงานร่วมกับผู้อื่นและเรียนรู้ด้วยการลงมือปฏิบัติ ตั้งแต่การการวางแผน การควบคุมการปฏิบัติให้เป็นไปตามแผน การแก้ปัญหา การประเมินการปฏิบัติ การสื่อสารและการนำเสนอ ด้วยการทำโครงงาน (Term Project) ในรายวิชา 10901114 วิทยาศาสตร์และเทคโนโลยีการประมงที่นำสมัย สำหรับนักศึกษาชั้นปีที่ 4 สาขาการประมงและนวัตกรรมการผลิตสัตว์น้ำ รวมทั้งจัดอบรมทั้งบรรยายและปฏิบัติการให้กับนักศึกษาได้เรียนรู้แนวทางในการเป็นผู้ประกอบการ การดำเนินธุรกิจ เปิดโอกาสให้นักศึกษาได้นำเสนอผลงาน (Pitching) ผลลัพธ์จากการดำเนินการตามแพลตฟอร์มดังกล่าวสามารถผลักดันให้ นักศึกษาสามารถนำองค์ความรู้ไปต่อยอด/พัฒนาสู่การการเป็นผู้ประกอบการได้ต่อไป" xr:uid="{AA54F2E4-DDFA-42AF-8BFA-3B17A9714334}"/>
    <hyperlink ref="F26" r:id="rId24" display="https://erp.mju.ac.th/openFile.aspx?id=Nzk1NDE2&amp;method=inline" xr:uid="{DABD7FCD-3E7B-4A98-B8E0-C249DBE9A580}"/>
    <hyperlink ref="F25" r:id="rId25" display="https://erp.mju.ac.th/openFile.aspx?id=Nzk1NDE2&amp;method=inline" xr:uid="{2F412496-FAC7-4AE5-A6D6-7095954B64AB}"/>
    <hyperlink ref="F40" r:id="rId26" display="ปีงบประมาณ  2569 คณะฯ มีโครงการบริการวิชาการแก่สังคมตามแผนปฏิบัติการฯ จำนวน 10 โครงการ โดยมีโครงการบริการวิชาการ จำนวน 1 โครงการ ที่ได้นำองค์ความรู้ด้านบริการวิชาการไปบูรณาการเข้ากับพันธกิจอื่น ๆ ดังนั้น ผลการดำเนินงานจึงคิดเป็นร้อยละ 10 เมื่อนำมาเทียบบัญญัติไตรยางศ์ โดยกำหนดร้อยละ 30 เท่ากับ 5 คะแนน  ผลการดำเนินงานเท่ากับ 1.67 (ส่วนโครงการที่เหลืออยู่ระหว่างดำเนินการ)" xr:uid="{EB65C000-8795-4339-9C03-CA684EB0C724}"/>
    <hyperlink ref="F53" r:id="rId27" display="คณะเทคโนโลยีการประมงและทรัพยากรทางน้ำ ให้การต้อนรับกลุ่มนักศึกษา ในโครงการ “Agriculture Sustainability and Culture Exchange Program” จำนวน 26 คน โดยมี รศ.ดร.นิสรา กิจเจริญ บรรยายเรื่องการจัดการความเสี่ยง รศ.ดร.อภินันท์ สุวรรณรักษ์ บรรยายเรื่อง แนวทางการศึกษาชนิดพันธุ์ปลาเพื่อการอนุรักษ์สิ่งแวดล้อมและความยั่งยืนของทรัพยากรทางน้ำ และเข้าเยี่ยมชมฐาน Museum, SAB และ Biofloc วันที่ 9 กุมภาพันธ์ 2569 " xr:uid="{5F467247-9DF4-43B5-B864-098EEC341000}"/>
    <hyperlink ref="F56" r:id="rId28" xr:uid="{6A7ADC76-1014-46F6-BF6F-430922CB5FC4}"/>
  </hyperlinks>
  <printOptions horizontalCentered="1"/>
  <pageMargins left="0.31496062992125984" right="0.31496062992125984" top="0.74803149606299213" bottom="0.35433070866141736" header="0.31496062992125984" footer="0.31496062992125984"/>
  <pageSetup paperSize="9" orientation="landscape" r:id="rId29"/>
  <headerFooter>
    <oddHeader>&amp;C&amp;P</oddHeader>
  </headerFooter>
  <drawing r:id="rId3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3EF25-6E0F-48B2-98FF-75068BCFEEA9}">
  <dimension ref="A1:I63"/>
  <sheetViews>
    <sheetView tabSelected="1" workbookViewId="0">
      <selection activeCell="I12" sqref="I12"/>
    </sheetView>
  </sheetViews>
  <sheetFormatPr defaultRowHeight="21" x14ac:dyDescent="0.35"/>
  <cols>
    <col min="1" max="1" width="57.125" style="41" customWidth="1"/>
    <col min="2" max="2" width="8" style="41" customWidth="1"/>
    <col min="3" max="3" width="15.125" style="41" customWidth="1"/>
    <col min="4" max="4" width="15.375" style="41" customWidth="1"/>
    <col min="5" max="5" width="11.25" style="41" customWidth="1"/>
    <col min="6" max="6" width="13.625" style="41" customWidth="1"/>
    <col min="7" max="7" width="12.375" style="41" customWidth="1"/>
    <col min="8" max="8" width="27.875" style="17" customWidth="1"/>
    <col min="9" max="260" width="9" style="17"/>
    <col min="261" max="261" width="46.75" style="17" customWidth="1"/>
    <col min="262" max="262" width="11.25" style="17" customWidth="1"/>
    <col min="263" max="263" width="14.375" style="17" customWidth="1"/>
    <col min="264" max="264" width="49.125" style="17" customWidth="1"/>
    <col min="265" max="516" width="9" style="17"/>
    <col min="517" max="517" width="46.75" style="17" customWidth="1"/>
    <col min="518" max="518" width="11.25" style="17" customWidth="1"/>
    <col min="519" max="519" width="14.375" style="17" customWidth="1"/>
    <col min="520" max="520" width="49.125" style="17" customWidth="1"/>
    <col min="521" max="772" width="9" style="17"/>
    <col min="773" max="773" width="46.75" style="17" customWidth="1"/>
    <col min="774" max="774" width="11.25" style="17" customWidth="1"/>
    <col min="775" max="775" width="14.375" style="17" customWidth="1"/>
    <col min="776" max="776" width="49.125" style="17" customWidth="1"/>
    <col min="777" max="1028" width="9" style="17"/>
    <col min="1029" max="1029" width="46.75" style="17" customWidth="1"/>
    <col min="1030" max="1030" width="11.25" style="17" customWidth="1"/>
    <col min="1031" max="1031" width="14.375" style="17" customWidth="1"/>
    <col min="1032" max="1032" width="49.125" style="17" customWidth="1"/>
    <col min="1033" max="1284" width="9" style="17"/>
    <col min="1285" max="1285" width="46.75" style="17" customWidth="1"/>
    <col min="1286" max="1286" width="11.25" style="17" customWidth="1"/>
    <col min="1287" max="1287" width="14.375" style="17" customWidth="1"/>
    <col min="1288" max="1288" width="49.125" style="17" customWidth="1"/>
    <col min="1289" max="1540" width="9" style="17"/>
    <col min="1541" max="1541" width="46.75" style="17" customWidth="1"/>
    <col min="1542" max="1542" width="11.25" style="17" customWidth="1"/>
    <col min="1543" max="1543" width="14.375" style="17" customWidth="1"/>
    <col min="1544" max="1544" width="49.125" style="17" customWidth="1"/>
    <col min="1545" max="1796" width="9" style="17"/>
    <col min="1797" max="1797" width="46.75" style="17" customWidth="1"/>
    <col min="1798" max="1798" width="11.25" style="17" customWidth="1"/>
    <col min="1799" max="1799" width="14.375" style="17" customWidth="1"/>
    <col min="1800" max="1800" width="49.125" style="17" customWidth="1"/>
    <col min="1801" max="2052" width="9" style="17"/>
    <col min="2053" max="2053" width="46.75" style="17" customWidth="1"/>
    <col min="2054" max="2054" width="11.25" style="17" customWidth="1"/>
    <col min="2055" max="2055" width="14.375" style="17" customWidth="1"/>
    <col min="2056" max="2056" width="49.125" style="17" customWidth="1"/>
    <col min="2057" max="2308" width="9" style="17"/>
    <col min="2309" max="2309" width="46.75" style="17" customWidth="1"/>
    <col min="2310" max="2310" width="11.25" style="17" customWidth="1"/>
    <col min="2311" max="2311" width="14.375" style="17" customWidth="1"/>
    <col min="2312" max="2312" width="49.125" style="17" customWidth="1"/>
    <col min="2313" max="2564" width="9" style="17"/>
    <col min="2565" max="2565" width="46.75" style="17" customWidth="1"/>
    <col min="2566" max="2566" width="11.25" style="17" customWidth="1"/>
    <col min="2567" max="2567" width="14.375" style="17" customWidth="1"/>
    <col min="2568" max="2568" width="49.125" style="17" customWidth="1"/>
    <col min="2569" max="2820" width="9" style="17"/>
    <col min="2821" max="2821" width="46.75" style="17" customWidth="1"/>
    <col min="2822" max="2822" width="11.25" style="17" customWidth="1"/>
    <col min="2823" max="2823" width="14.375" style="17" customWidth="1"/>
    <col min="2824" max="2824" width="49.125" style="17" customWidth="1"/>
    <col min="2825" max="3076" width="9" style="17"/>
    <col min="3077" max="3077" width="46.75" style="17" customWidth="1"/>
    <col min="3078" max="3078" width="11.25" style="17" customWidth="1"/>
    <col min="3079" max="3079" width="14.375" style="17" customWidth="1"/>
    <col min="3080" max="3080" width="49.125" style="17" customWidth="1"/>
    <col min="3081" max="3332" width="9" style="17"/>
    <col min="3333" max="3333" width="46.75" style="17" customWidth="1"/>
    <col min="3334" max="3334" width="11.25" style="17" customWidth="1"/>
    <col min="3335" max="3335" width="14.375" style="17" customWidth="1"/>
    <col min="3336" max="3336" width="49.125" style="17" customWidth="1"/>
    <col min="3337" max="3588" width="9" style="17"/>
    <col min="3589" max="3589" width="46.75" style="17" customWidth="1"/>
    <col min="3590" max="3590" width="11.25" style="17" customWidth="1"/>
    <col min="3591" max="3591" width="14.375" style="17" customWidth="1"/>
    <col min="3592" max="3592" width="49.125" style="17" customWidth="1"/>
    <col min="3593" max="3844" width="9" style="17"/>
    <col min="3845" max="3845" width="46.75" style="17" customWidth="1"/>
    <col min="3846" max="3846" width="11.25" style="17" customWidth="1"/>
    <col min="3847" max="3847" width="14.375" style="17" customWidth="1"/>
    <col min="3848" max="3848" width="49.125" style="17" customWidth="1"/>
    <col min="3849" max="4100" width="9" style="17"/>
    <col min="4101" max="4101" width="46.75" style="17" customWidth="1"/>
    <col min="4102" max="4102" width="11.25" style="17" customWidth="1"/>
    <col min="4103" max="4103" width="14.375" style="17" customWidth="1"/>
    <col min="4104" max="4104" width="49.125" style="17" customWidth="1"/>
    <col min="4105" max="4356" width="9" style="17"/>
    <col min="4357" max="4357" width="46.75" style="17" customWidth="1"/>
    <col min="4358" max="4358" width="11.25" style="17" customWidth="1"/>
    <col min="4359" max="4359" width="14.375" style="17" customWidth="1"/>
    <col min="4360" max="4360" width="49.125" style="17" customWidth="1"/>
    <col min="4361" max="4612" width="9" style="17"/>
    <col min="4613" max="4613" width="46.75" style="17" customWidth="1"/>
    <col min="4614" max="4614" width="11.25" style="17" customWidth="1"/>
    <col min="4615" max="4615" width="14.375" style="17" customWidth="1"/>
    <col min="4616" max="4616" width="49.125" style="17" customWidth="1"/>
    <col min="4617" max="4868" width="9" style="17"/>
    <col min="4869" max="4869" width="46.75" style="17" customWidth="1"/>
    <col min="4870" max="4870" width="11.25" style="17" customWidth="1"/>
    <col min="4871" max="4871" width="14.375" style="17" customWidth="1"/>
    <col min="4872" max="4872" width="49.125" style="17" customWidth="1"/>
    <col min="4873" max="5124" width="9" style="17"/>
    <col min="5125" max="5125" width="46.75" style="17" customWidth="1"/>
    <col min="5126" max="5126" width="11.25" style="17" customWidth="1"/>
    <col min="5127" max="5127" width="14.375" style="17" customWidth="1"/>
    <col min="5128" max="5128" width="49.125" style="17" customWidth="1"/>
    <col min="5129" max="5380" width="9" style="17"/>
    <col min="5381" max="5381" width="46.75" style="17" customWidth="1"/>
    <col min="5382" max="5382" width="11.25" style="17" customWidth="1"/>
    <col min="5383" max="5383" width="14.375" style="17" customWidth="1"/>
    <col min="5384" max="5384" width="49.125" style="17" customWidth="1"/>
    <col min="5385" max="5636" width="9" style="17"/>
    <col min="5637" max="5637" width="46.75" style="17" customWidth="1"/>
    <col min="5638" max="5638" width="11.25" style="17" customWidth="1"/>
    <col min="5639" max="5639" width="14.375" style="17" customWidth="1"/>
    <col min="5640" max="5640" width="49.125" style="17" customWidth="1"/>
    <col min="5641" max="5892" width="9" style="17"/>
    <col min="5893" max="5893" width="46.75" style="17" customWidth="1"/>
    <col min="5894" max="5894" width="11.25" style="17" customWidth="1"/>
    <col min="5895" max="5895" width="14.375" style="17" customWidth="1"/>
    <col min="5896" max="5896" width="49.125" style="17" customWidth="1"/>
    <col min="5897" max="6148" width="9" style="17"/>
    <col min="6149" max="6149" width="46.75" style="17" customWidth="1"/>
    <col min="6150" max="6150" width="11.25" style="17" customWidth="1"/>
    <col min="6151" max="6151" width="14.375" style="17" customWidth="1"/>
    <col min="6152" max="6152" width="49.125" style="17" customWidth="1"/>
    <col min="6153" max="6404" width="9" style="17"/>
    <col min="6405" max="6405" width="46.75" style="17" customWidth="1"/>
    <col min="6406" max="6406" width="11.25" style="17" customWidth="1"/>
    <col min="6407" max="6407" width="14.375" style="17" customWidth="1"/>
    <col min="6408" max="6408" width="49.125" style="17" customWidth="1"/>
    <col min="6409" max="6660" width="9" style="17"/>
    <col min="6661" max="6661" width="46.75" style="17" customWidth="1"/>
    <col min="6662" max="6662" width="11.25" style="17" customWidth="1"/>
    <col min="6663" max="6663" width="14.375" style="17" customWidth="1"/>
    <col min="6664" max="6664" width="49.125" style="17" customWidth="1"/>
    <col min="6665" max="6916" width="9" style="17"/>
    <col min="6917" max="6917" width="46.75" style="17" customWidth="1"/>
    <col min="6918" max="6918" width="11.25" style="17" customWidth="1"/>
    <col min="6919" max="6919" width="14.375" style="17" customWidth="1"/>
    <col min="6920" max="6920" width="49.125" style="17" customWidth="1"/>
    <col min="6921" max="7172" width="9" style="17"/>
    <col min="7173" max="7173" width="46.75" style="17" customWidth="1"/>
    <col min="7174" max="7174" width="11.25" style="17" customWidth="1"/>
    <col min="7175" max="7175" width="14.375" style="17" customWidth="1"/>
    <col min="7176" max="7176" width="49.125" style="17" customWidth="1"/>
    <col min="7177" max="7428" width="9" style="17"/>
    <col min="7429" max="7429" width="46.75" style="17" customWidth="1"/>
    <col min="7430" max="7430" width="11.25" style="17" customWidth="1"/>
    <col min="7431" max="7431" width="14.375" style="17" customWidth="1"/>
    <col min="7432" max="7432" width="49.125" style="17" customWidth="1"/>
    <col min="7433" max="7684" width="9" style="17"/>
    <col min="7685" max="7685" width="46.75" style="17" customWidth="1"/>
    <col min="7686" max="7686" width="11.25" style="17" customWidth="1"/>
    <col min="7687" max="7687" width="14.375" style="17" customWidth="1"/>
    <col min="7688" max="7688" width="49.125" style="17" customWidth="1"/>
    <col min="7689" max="7940" width="9" style="17"/>
    <col min="7941" max="7941" width="46.75" style="17" customWidth="1"/>
    <col min="7942" max="7942" width="11.25" style="17" customWidth="1"/>
    <col min="7943" max="7943" width="14.375" style="17" customWidth="1"/>
    <col min="7944" max="7944" width="49.125" style="17" customWidth="1"/>
    <col min="7945" max="8196" width="9" style="17"/>
    <col min="8197" max="8197" width="46.75" style="17" customWidth="1"/>
    <col min="8198" max="8198" width="11.25" style="17" customWidth="1"/>
    <col min="8199" max="8199" width="14.375" style="17" customWidth="1"/>
    <col min="8200" max="8200" width="49.125" style="17" customWidth="1"/>
    <col min="8201" max="8452" width="9" style="17"/>
    <col min="8453" max="8453" width="46.75" style="17" customWidth="1"/>
    <col min="8454" max="8454" width="11.25" style="17" customWidth="1"/>
    <col min="8455" max="8455" width="14.375" style="17" customWidth="1"/>
    <col min="8456" max="8456" width="49.125" style="17" customWidth="1"/>
    <col min="8457" max="8708" width="9" style="17"/>
    <col min="8709" max="8709" width="46.75" style="17" customWidth="1"/>
    <col min="8710" max="8710" width="11.25" style="17" customWidth="1"/>
    <col min="8711" max="8711" width="14.375" style="17" customWidth="1"/>
    <col min="8712" max="8712" width="49.125" style="17" customWidth="1"/>
    <col min="8713" max="8964" width="9" style="17"/>
    <col min="8965" max="8965" width="46.75" style="17" customWidth="1"/>
    <col min="8966" max="8966" width="11.25" style="17" customWidth="1"/>
    <col min="8967" max="8967" width="14.375" style="17" customWidth="1"/>
    <col min="8968" max="8968" width="49.125" style="17" customWidth="1"/>
    <col min="8969" max="9220" width="9" style="17"/>
    <col min="9221" max="9221" width="46.75" style="17" customWidth="1"/>
    <col min="9222" max="9222" width="11.25" style="17" customWidth="1"/>
    <col min="9223" max="9223" width="14.375" style="17" customWidth="1"/>
    <col min="9224" max="9224" width="49.125" style="17" customWidth="1"/>
    <col min="9225" max="9476" width="9" style="17"/>
    <col min="9477" max="9477" width="46.75" style="17" customWidth="1"/>
    <col min="9478" max="9478" width="11.25" style="17" customWidth="1"/>
    <col min="9479" max="9479" width="14.375" style="17" customWidth="1"/>
    <col min="9480" max="9480" width="49.125" style="17" customWidth="1"/>
    <col min="9481" max="9732" width="9" style="17"/>
    <col min="9733" max="9733" width="46.75" style="17" customWidth="1"/>
    <col min="9734" max="9734" width="11.25" style="17" customWidth="1"/>
    <col min="9735" max="9735" width="14.375" style="17" customWidth="1"/>
    <col min="9736" max="9736" width="49.125" style="17" customWidth="1"/>
    <col min="9737" max="9988" width="9" style="17"/>
    <col min="9989" max="9989" width="46.75" style="17" customWidth="1"/>
    <col min="9990" max="9990" width="11.25" style="17" customWidth="1"/>
    <col min="9991" max="9991" width="14.375" style="17" customWidth="1"/>
    <col min="9992" max="9992" width="49.125" style="17" customWidth="1"/>
    <col min="9993" max="10244" width="9" style="17"/>
    <col min="10245" max="10245" width="46.75" style="17" customWidth="1"/>
    <col min="10246" max="10246" width="11.25" style="17" customWidth="1"/>
    <col min="10247" max="10247" width="14.375" style="17" customWidth="1"/>
    <col min="10248" max="10248" width="49.125" style="17" customWidth="1"/>
    <col min="10249" max="10500" width="9" style="17"/>
    <col min="10501" max="10501" width="46.75" style="17" customWidth="1"/>
    <col min="10502" max="10502" width="11.25" style="17" customWidth="1"/>
    <col min="10503" max="10503" width="14.375" style="17" customWidth="1"/>
    <col min="10504" max="10504" width="49.125" style="17" customWidth="1"/>
    <col min="10505" max="10756" width="9" style="17"/>
    <col min="10757" max="10757" width="46.75" style="17" customWidth="1"/>
    <col min="10758" max="10758" width="11.25" style="17" customWidth="1"/>
    <col min="10759" max="10759" width="14.375" style="17" customWidth="1"/>
    <col min="10760" max="10760" width="49.125" style="17" customWidth="1"/>
    <col min="10761" max="11012" width="9" style="17"/>
    <col min="11013" max="11013" width="46.75" style="17" customWidth="1"/>
    <col min="11014" max="11014" width="11.25" style="17" customWidth="1"/>
    <col min="11015" max="11015" width="14.375" style="17" customWidth="1"/>
    <col min="11016" max="11016" width="49.125" style="17" customWidth="1"/>
    <col min="11017" max="11268" width="9" style="17"/>
    <col min="11269" max="11269" width="46.75" style="17" customWidth="1"/>
    <col min="11270" max="11270" width="11.25" style="17" customWidth="1"/>
    <col min="11271" max="11271" width="14.375" style="17" customWidth="1"/>
    <col min="11272" max="11272" width="49.125" style="17" customWidth="1"/>
    <col min="11273" max="11524" width="9" style="17"/>
    <col min="11525" max="11525" width="46.75" style="17" customWidth="1"/>
    <col min="11526" max="11526" width="11.25" style="17" customWidth="1"/>
    <col min="11527" max="11527" width="14.375" style="17" customWidth="1"/>
    <col min="11528" max="11528" width="49.125" style="17" customWidth="1"/>
    <col min="11529" max="11780" width="9" style="17"/>
    <col min="11781" max="11781" width="46.75" style="17" customWidth="1"/>
    <col min="11782" max="11782" width="11.25" style="17" customWidth="1"/>
    <col min="11783" max="11783" width="14.375" style="17" customWidth="1"/>
    <col min="11784" max="11784" width="49.125" style="17" customWidth="1"/>
    <col min="11785" max="12036" width="9" style="17"/>
    <col min="12037" max="12037" width="46.75" style="17" customWidth="1"/>
    <col min="12038" max="12038" width="11.25" style="17" customWidth="1"/>
    <col min="12039" max="12039" width="14.375" style="17" customWidth="1"/>
    <col min="12040" max="12040" width="49.125" style="17" customWidth="1"/>
    <col min="12041" max="12292" width="9" style="17"/>
    <col min="12293" max="12293" width="46.75" style="17" customWidth="1"/>
    <col min="12294" max="12294" width="11.25" style="17" customWidth="1"/>
    <col min="12295" max="12295" width="14.375" style="17" customWidth="1"/>
    <col min="12296" max="12296" width="49.125" style="17" customWidth="1"/>
    <col min="12297" max="12548" width="9" style="17"/>
    <col min="12549" max="12549" width="46.75" style="17" customWidth="1"/>
    <col min="12550" max="12550" width="11.25" style="17" customWidth="1"/>
    <col min="12551" max="12551" width="14.375" style="17" customWidth="1"/>
    <col min="12552" max="12552" width="49.125" style="17" customWidth="1"/>
    <col min="12553" max="12804" width="9" style="17"/>
    <col min="12805" max="12805" width="46.75" style="17" customWidth="1"/>
    <col min="12806" max="12806" width="11.25" style="17" customWidth="1"/>
    <col min="12807" max="12807" width="14.375" style="17" customWidth="1"/>
    <col min="12808" max="12808" width="49.125" style="17" customWidth="1"/>
    <col min="12809" max="13060" width="9" style="17"/>
    <col min="13061" max="13061" width="46.75" style="17" customWidth="1"/>
    <col min="13062" max="13062" width="11.25" style="17" customWidth="1"/>
    <col min="13063" max="13063" width="14.375" style="17" customWidth="1"/>
    <col min="13064" max="13064" width="49.125" style="17" customWidth="1"/>
    <col min="13065" max="13316" width="9" style="17"/>
    <col min="13317" max="13317" width="46.75" style="17" customWidth="1"/>
    <col min="13318" max="13318" width="11.25" style="17" customWidth="1"/>
    <col min="13319" max="13319" width="14.375" style="17" customWidth="1"/>
    <col min="13320" max="13320" width="49.125" style="17" customWidth="1"/>
    <col min="13321" max="13572" width="9" style="17"/>
    <col min="13573" max="13573" width="46.75" style="17" customWidth="1"/>
    <col min="13574" max="13574" width="11.25" style="17" customWidth="1"/>
    <col min="13575" max="13575" width="14.375" style="17" customWidth="1"/>
    <col min="13576" max="13576" width="49.125" style="17" customWidth="1"/>
    <col min="13577" max="13828" width="9" style="17"/>
    <col min="13829" max="13829" width="46.75" style="17" customWidth="1"/>
    <col min="13830" max="13830" width="11.25" style="17" customWidth="1"/>
    <col min="13831" max="13831" width="14.375" style="17" customWidth="1"/>
    <col min="13832" max="13832" width="49.125" style="17" customWidth="1"/>
    <col min="13833" max="14084" width="9" style="17"/>
    <col min="14085" max="14085" width="46.75" style="17" customWidth="1"/>
    <col min="14086" max="14086" width="11.25" style="17" customWidth="1"/>
    <col min="14087" max="14087" width="14.375" style="17" customWidth="1"/>
    <col min="14088" max="14088" width="49.125" style="17" customWidth="1"/>
    <col min="14089" max="14340" width="9" style="17"/>
    <col min="14341" max="14341" width="46.75" style="17" customWidth="1"/>
    <col min="14342" max="14342" width="11.25" style="17" customWidth="1"/>
    <col min="14343" max="14343" width="14.375" style="17" customWidth="1"/>
    <col min="14344" max="14344" width="49.125" style="17" customWidth="1"/>
    <col min="14345" max="14596" width="9" style="17"/>
    <col min="14597" max="14597" width="46.75" style="17" customWidth="1"/>
    <col min="14598" max="14598" width="11.25" style="17" customWidth="1"/>
    <col min="14599" max="14599" width="14.375" style="17" customWidth="1"/>
    <col min="14600" max="14600" width="49.125" style="17" customWidth="1"/>
    <col min="14601" max="14852" width="9" style="17"/>
    <col min="14853" max="14853" width="46.75" style="17" customWidth="1"/>
    <col min="14854" max="14854" width="11.25" style="17" customWidth="1"/>
    <col min="14855" max="14855" width="14.375" style="17" customWidth="1"/>
    <col min="14856" max="14856" width="49.125" style="17" customWidth="1"/>
    <col min="14857" max="15108" width="9" style="17"/>
    <col min="15109" max="15109" width="46.75" style="17" customWidth="1"/>
    <col min="15110" max="15110" width="11.25" style="17" customWidth="1"/>
    <col min="15111" max="15111" width="14.375" style="17" customWidth="1"/>
    <col min="15112" max="15112" width="49.125" style="17" customWidth="1"/>
    <col min="15113" max="15364" width="9" style="17"/>
    <col min="15365" max="15365" width="46.75" style="17" customWidth="1"/>
    <col min="15366" max="15366" width="11.25" style="17" customWidth="1"/>
    <col min="15367" max="15367" width="14.375" style="17" customWidth="1"/>
    <col min="15368" max="15368" width="49.125" style="17" customWidth="1"/>
    <col min="15369" max="15620" width="9" style="17"/>
    <col min="15621" max="15621" width="46.75" style="17" customWidth="1"/>
    <col min="15622" max="15622" width="11.25" style="17" customWidth="1"/>
    <col min="15623" max="15623" width="14.375" style="17" customWidth="1"/>
    <col min="15624" max="15624" width="49.125" style="17" customWidth="1"/>
    <col min="15625" max="15876" width="9" style="17"/>
    <col min="15877" max="15877" width="46.75" style="17" customWidth="1"/>
    <col min="15878" max="15878" width="11.25" style="17" customWidth="1"/>
    <col min="15879" max="15879" width="14.375" style="17" customWidth="1"/>
    <col min="15880" max="15880" width="49.125" style="17" customWidth="1"/>
    <col min="15881" max="16132" width="9" style="17"/>
    <col min="16133" max="16133" width="46.75" style="17" customWidth="1"/>
    <col min="16134" max="16134" width="11.25" style="17" customWidth="1"/>
    <col min="16135" max="16135" width="14.375" style="17" customWidth="1"/>
    <col min="16136" max="16136" width="49.125" style="17" customWidth="1"/>
    <col min="16137" max="16384" width="9" style="17"/>
  </cols>
  <sheetData>
    <row r="1" spans="1:9" s="37" customFormat="1" ht="39" customHeight="1" x14ac:dyDescent="0.2">
      <c r="A1" s="142" t="s">
        <v>98</v>
      </c>
      <c r="B1" s="142"/>
      <c r="C1" s="142"/>
      <c r="D1" s="142"/>
      <c r="E1" s="142"/>
      <c r="F1" s="142"/>
      <c r="G1" s="142"/>
      <c r="H1" s="142"/>
    </row>
    <row r="2" spans="1:9" s="37" customFormat="1" ht="33.75" customHeight="1" x14ac:dyDescent="0.2">
      <c r="A2" s="143" t="s">
        <v>200</v>
      </c>
      <c r="B2" s="143"/>
      <c r="C2" s="143"/>
      <c r="D2" s="143"/>
      <c r="E2" s="143"/>
      <c r="F2" s="143"/>
      <c r="G2" s="143"/>
      <c r="H2" s="143"/>
    </row>
    <row r="3" spans="1:9" ht="27.75" customHeight="1" x14ac:dyDescent="0.35">
      <c r="A3" s="144" t="s">
        <v>85</v>
      </c>
      <c r="B3" s="147" t="s">
        <v>86</v>
      </c>
      <c r="C3" s="148"/>
      <c r="D3" s="148"/>
      <c r="E3" s="149"/>
      <c r="F3" s="147" t="s">
        <v>87</v>
      </c>
      <c r="G3" s="149"/>
      <c r="H3" s="151" t="s">
        <v>88</v>
      </c>
    </row>
    <row r="4" spans="1:9" s="18" customFormat="1" ht="24" customHeight="1" x14ac:dyDescent="0.2">
      <c r="A4" s="145"/>
      <c r="B4" s="150" t="s">
        <v>163</v>
      </c>
      <c r="C4" s="154"/>
      <c r="D4" s="154"/>
      <c r="E4" s="155"/>
      <c r="F4" s="156"/>
      <c r="G4" s="157"/>
      <c r="H4" s="152"/>
    </row>
    <row r="5" spans="1:9" s="18" customFormat="1" ht="36" customHeight="1" x14ac:dyDescent="0.2">
      <c r="A5" s="146"/>
      <c r="B5" s="19" t="s">
        <v>2</v>
      </c>
      <c r="C5" s="19" t="s">
        <v>89</v>
      </c>
      <c r="D5" s="19" t="s">
        <v>90</v>
      </c>
      <c r="E5" s="19" t="s">
        <v>91</v>
      </c>
      <c r="F5" s="20" t="s">
        <v>92</v>
      </c>
      <c r="G5" s="20" t="s">
        <v>208</v>
      </c>
      <c r="H5" s="153"/>
    </row>
    <row r="6" spans="1:9" s="25" customFormat="1" ht="32.25" customHeight="1" x14ac:dyDescent="0.35">
      <c r="A6" s="21" t="s">
        <v>149</v>
      </c>
      <c r="B6" s="22">
        <f>SUM(C6:E6)</f>
        <v>8</v>
      </c>
      <c r="C6" s="22">
        <v>2</v>
      </c>
      <c r="D6" s="22">
        <v>6</v>
      </c>
      <c r="E6" s="22">
        <v>0</v>
      </c>
      <c r="F6" s="23">
        <f>AVERAGE('ตัวชี้วัด 69 (6 เดือน)'!E7:E11,'ตัวชี้วัด 69 (6 เดือน)'!E13:E15)</f>
        <v>46.762606837606839</v>
      </c>
      <c r="G6" s="23"/>
      <c r="H6" s="24"/>
    </row>
    <row r="7" spans="1:9" s="25" customFormat="1" ht="28.5" customHeight="1" x14ac:dyDescent="0.35">
      <c r="A7" s="21" t="s">
        <v>150</v>
      </c>
      <c r="B7" s="22">
        <f t="shared" ref="B7:B14" si="0">SUM(C7:E7)</f>
        <v>16</v>
      </c>
      <c r="C7" s="22">
        <f>SUM(C8:C11)</f>
        <v>10</v>
      </c>
      <c r="D7" s="22">
        <v>0</v>
      </c>
      <c r="E7" s="22">
        <f>SUM(E8:E11)</f>
        <v>6</v>
      </c>
      <c r="F7" s="23">
        <f>AVERAGE('ตัวชี้วัด 69 (6 เดือน)'!E19,'ตัวชี้วัด 69 (6 เดือน)'!E20,'ตัวชี้วัด 69 (6 เดือน)'!E22,'ตัวชี้วัด 69 (6 เดือน)'!E24,'ตัวชี้วัด 69 (6 เดือน)'!E25,'ตัวชี้วัด 69 (6 เดือน)'!E26,'ตัวชี้วัด 69 (6 เดือน)'!E28,'ตัวชี้วัด 69 (6 เดือน)'!E29,'ตัวชี้วัด 69 (6 เดือน)'!E30,'ตัวชี้วัด 69 (6 เดือน)'!E31,'ตัวชี้วัด 69 (6 เดือน)'!E32,'ตัวชี้วัด 69 (6 เดือน)'!E33,'ตัวชี้วัด 69 (6 เดือน)'!E34,'ตัวชี้วัด 69 (6 เดือน)'!E35,'ตัวชี้วัด 69 (6 เดือน)'!E37,'ตัวชี้วัด 69 (6 เดือน)'!E42)</f>
        <v>78.739174107142844</v>
      </c>
      <c r="G7" s="23"/>
      <c r="H7" s="26"/>
      <c r="I7" s="27"/>
    </row>
    <row r="8" spans="1:9" ht="28.5" customHeight="1" x14ac:dyDescent="0.35">
      <c r="A8" s="28" t="s">
        <v>93</v>
      </c>
      <c r="B8" s="22">
        <f t="shared" si="0"/>
        <v>9</v>
      </c>
      <c r="C8" s="29">
        <v>4</v>
      </c>
      <c r="D8" s="29">
        <v>2</v>
      </c>
      <c r="E8" s="29">
        <v>3</v>
      </c>
      <c r="F8" s="30">
        <f>AVERAGE('ตัวชี้วัด 69 (6 เดือน)'!E19,'ตัวชี้วัด 69 (6 เดือน)'!E20,'ตัวชี้วัด 69 (6 เดือน)'!E22,'ตัวชี้วัด 69 (6 เดือน)'!E24,'ตัวชี้วัด 69 (6 เดือน)'!E25,'ตัวชี้วัด 69 (6 เดือน)'!E26)</f>
        <v>82.143749999999997</v>
      </c>
      <c r="G8" s="30"/>
      <c r="H8" s="88"/>
    </row>
    <row r="9" spans="1:9" ht="24.75" customHeight="1" x14ac:dyDescent="0.35">
      <c r="A9" s="28" t="s">
        <v>94</v>
      </c>
      <c r="B9" s="22">
        <f t="shared" si="0"/>
        <v>8</v>
      </c>
      <c r="C9" s="29">
        <v>5</v>
      </c>
      <c r="D9" s="29">
        <v>3</v>
      </c>
      <c r="E9" s="29">
        <v>0</v>
      </c>
      <c r="F9" s="30">
        <f>AVERAGE('ตัวชี้วัด 69 (6 เดือน)'!E28,'ตัวชี้วัด 69 (6 เดือน)'!E29,'ตัวชี้วัด 69 (6 เดือน)'!E30,'ตัวชี้วัด 69 (6 เดือน)'!E31,'ตัวชี้วัด 69 (6 เดือน)'!E32,'ตัวชี้วัด 69 (6 เดือน)'!E33,'ตัวชี้วัด 69 (6 เดือน)'!E34,'ตัวชี้วัด 69 (6 เดือน)'!E35)</f>
        <v>83.370535714285722</v>
      </c>
      <c r="G9" s="30"/>
      <c r="H9" s="31"/>
    </row>
    <row r="10" spans="1:9" ht="24.75" customHeight="1" x14ac:dyDescent="0.35">
      <c r="A10" s="28" t="s">
        <v>95</v>
      </c>
      <c r="B10" s="22">
        <f t="shared" si="0"/>
        <v>3</v>
      </c>
      <c r="C10" s="29">
        <v>1</v>
      </c>
      <c r="D10" s="29">
        <v>0</v>
      </c>
      <c r="E10" s="29">
        <v>2</v>
      </c>
      <c r="F10" s="30">
        <f>AVERAGE('ตัวชี้วัด 69 (6 เดือน)'!E37)</f>
        <v>100</v>
      </c>
      <c r="G10" s="30"/>
      <c r="H10" s="31"/>
    </row>
    <row r="11" spans="1:9" ht="24.75" customHeight="1" x14ac:dyDescent="0.35">
      <c r="A11" s="28" t="s">
        <v>96</v>
      </c>
      <c r="B11" s="22">
        <f t="shared" si="0"/>
        <v>2</v>
      </c>
      <c r="C11" s="29">
        <v>0</v>
      </c>
      <c r="D11" s="29">
        <v>1</v>
      </c>
      <c r="E11" s="29">
        <v>1</v>
      </c>
      <c r="F11" s="30">
        <f>AVERAGE('ตัวชี้วัด 69 (6 เดือน)'!E42)</f>
        <v>0</v>
      </c>
      <c r="G11" s="30"/>
      <c r="H11" s="31"/>
    </row>
    <row r="12" spans="1:9" s="25" customFormat="1" ht="27.75" customHeight="1" x14ac:dyDescent="0.35">
      <c r="A12" s="21" t="s">
        <v>151</v>
      </c>
      <c r="B12" s="22">
        <f t="shared" si="0"/>
        <v>5</v>
      </c>
      <c r="C12" s="22">
        <v>0</v>
      </c>
      <c r="D12" s="22">
        <v>4</v>
      </c>
      <c r="E12" s="22">
        <v>1</v>
      </c>
      <c r="F12" s="23">
        <f>AVERAGE('ตัวชี้วัด 69 (6 เดือน)'!E45,'ตัวชี้วัด 69 (6 เดือน)'!E46,'ตัวชี้วัด 69 (6 เดือน)'!E48,'ตัวชี้วัด 69 (6 เดือน)'!E51)</f>
        <v>52.5</v>
      </c>
      <c r="G12" s="23"/>
      <c r="H12" s="24"/>
    </row>
    <row r="13" spans="1:9" s="25" customFormat="1" ht="47.25" customHeight="1" x14ac:dyDescent="0.35">
      <c r="A13" s="21" t="s">
        <v>152</v>
      </c>
      <c r="B13" s="22">
        <f t="shared" si="0"/>
        <v>3</v>
      </c>
      <c r="C13" s="22">
        <v>1</v>
      </c>
      <c r="D13" s="22">
        <v>2</v>
      </c>
      <c r="E13" s="22">
        <v>0</v>
      </c>
      <c r="F13" s="23">
        <f>AVERAGE('ตัวชี้วัด 69 (6 เดือน)'!E56:E59)</f>
        <v>60</v>
      </c>
      <c r="G13" s="23"/>
      <c r="H13" s="26"/>
    </row>
    <row r="14" spans="1:9" s="25" customFormat="1" ht="42" x14ac:dyDescent="0.35">
      <c r="A14" s="21" t="s">
        <v>153</v>
      </c>
      <c r="B14" s="22">
        <f t="shared" si="0"/>
        <v>8</v>
      </c>
      <c r="C14" s="22">
        <v>3</v>
      </c>
      <c r="D14" s="22">
        <v>2</v>
      </c>
      <c r="E14" s="22">
        <v>3</v>
      </c>
      <c r="F14" s="23">
        <f>AVERAGE('ตัวชี้วัด 69 (6 เดือน)'!E66,'ตัวชี้วัด 69 (6 เดือน)'!E69,'ตัวชี้วัด 69 (6 เดือน)'!E70,'ตัวชี้วัด 69 (6 เดือน)'!E71,'ตัวชี้วัด 69 (6 เดือน)'!E73)</f>
        <v>69.488286063157901</v>
      </c>
      <c r="G14" s="23"/>
      <c r="H14" s="26"/>
    </row>
    <row r="15" spans="1:9" s="37" customFormat="1" ht="28.5" customHeight="1" x14ac:dyDescent="0.2">
      <c r="A15" s="32" t="s">
        <v>154</v>
      </c>
      <c r="B15" s="33">
        <f>B6+B7+B12+B13+B14</f>
        <v>40</v>
      </c>
      <c r="C15" s="33">
        <f>C6+C7+C12+C13+C14</f>
        <v>16</v>
      </c>
      <c r="D15" s="33">
        <f>D6+D7+D12+D13+D14</f>
        <v>14</v>
      </c>
      <c r="E15" s="33">
        <f>E6+E7+E12+E13+E14</f>
        <v>10</v>
      </c>
      <c r="F15" s="34">
        <f>AVERAGE('ตัวชี้วัด 69 (6 เดือน)'!E7,'ตัวชี้วัด 69 (6 เดือน)'!E8,'ตัวชี้วัด 69 (6 เดือน)'!E9,'ตัวชี้วัด 69 (6 เดือน)'!E10,'ตัวชี้วัด 69 (6 เดือน)'!E11,'ตัวชี้วัด 69 (6 เดือน)'!E13,'ตัวชี้วัด 69 (6 เดือน)'!E14,'ตัวชี้วัด 69 (6 เดือน)'!E15,'ตัวชี้วัด 69 (6 เดือน)'!E19,'ตัวชี้วัด 69 (6 เดือน)'!E20,'ตัวชี้วัด 69 (6 เดือน)'!E22,'ตัวชี้วัด 69 (6 เดือน)'!E24,'ตัวชี้วัด 69 (6 เดือน)'!E25,'ตัวชี้วัด 69 (6 เดือน)'!E26,'ตัวชี้วัด 69 (6 เดือน)'!E28,'ตัวชี้วัด 69 (6 เดือน)'!E29,'ตัวชี้วัด 69 (6 เดือน)'!E30,'ตัวชี้วัด 69 (6 เดือน)'!E31,'ตัวชี้วัด 69 (6 เดือน)'!E32,'ตัวชี้วัด 69 (6 เดือน)'!E33,'ตัวชี้วัด 69 (6 เดือน)'!E34,'ตัวชี้วัด 69 (6 เดือน)'!E35,'ตัวชี้วัด 69 (6 เดือน)'!E37,'ตัวชี้วัด 69 (6 เดือน)'!E42,'ตัวชี้วัด 69 (6 เดือน)'!E45,'ตัวชี้วัด 69 (6 เดือน)'!E46,'ตัวชี้วัด 69 (6 เดือน)'!E48,'ตัวชี้วัด 69 (6 เดือน)'!E51,'ตัวชี้วัด 69 (6 เดือน)'!E56,'ตัวชี้วัด 69 (6 เดือน)'!E57,'ตัวชี้วัด 69 (6 เดือน)'!E59,'ตัวชี้วัด 69 (6 เดือน)'!E66,'ตัวชี้วัด 69 (6 เดือน)'!E69,'ตัวชี้วัด 69 (6 เดือน)'!E70,'ตัวชี้วัด 69 (6 เดือน)'!E71,'ตัวชี้วัด 69 (6 เดือน)'!E73)</f>
        <v>65.871363075859165</v>
      </c>
      <c r="G15" s="34"/>
      <c r="H15" s="36"/>
    </row>
    <row r="16" spans="1:9" s="37" customFormat="1" ht="24.75" customHeight="1" x14ac:dyDescent="0.2">
      <c r="A16" s="38" t="s">
        <v>97</v>
      </c>
      <c r="B16" s="39"/>
      <c r="C16" s="39"/>
      <c r="D16" s="39"/>
      <c r="E16" s="39"/>
      <c r="F16" s="35">
        <f>F15*5/100</f>
        <v>3.2935681537929584</v>
      </c>
      <c r="G16" s="35"/>
      <c r="H16" s="36"/>
    </row>
    <row r="17" spans="1:8" s="41" customFormat="1" x14ac:dyDescent="0.35">
      <c r="A17" s="40"/>
      <c r="B17" s="40"/>
      <c r="C17" s="40"/>
      <c r="D17" s="40"/>
      <c r="E17" s="40"/>
      <c r="F17" s="40"/>
      <c r="G17" s="40"/>
      <c r="H17" s="17"/>
    </row>
    <row r="63" spans="3:4" x14ac:dyDescent="0.35">
      <c r="C63" s="41">
        <v>5</v>
      </c>
      <c r="D63" s="41">
        <v>3</v>
      </c>
    </row>
  </sheetData>
  <mergeCells count="7">
    <mergeCell ref="A1:H1"/>
    <mergeCell ref="A2:H2"/>
    <mergeCell ref="A3:A5"/>
    <mergeCell ref="B3:E3"/>
    <mergeCell ref="H3:H5"/>
    <mergeCell ref="B4:E4"/>
    <mergeCell ref="F3:G4"/>
  </mergeCells>
  <printOptions horizontalCentered="1"/>
  <pageMargins left="0.31496062992125984" right="0.31496062992125984" top="0.74803149606299213" bottom="0.55118110236220474" header="0.31496062992125984" footer="0.31496062992125984"/>
  <pageSetup paperSize="9" scale="85" firstPageNumber="18" orientation="landscape" useFirstPageNumber="1" r:id="rId1"/>
  <headerFooter>
    <oddHeader>&amp;C&amp;"TH SarabunPSK,ธรรมดา"&amp;12&amp;P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เวิร์กชีต</vt:lpstr>
      </vt:variant>
      <vt:variant>
        <vt:i4>5</vt:i4>
      </vt:variant>
      <vt:variant>
        <vt:lpstr>ช่วงที่มีชื่อ</vt:lpstr>
      </vt:variant>
      <vt:variant>
        <vt:i4>5</vt:i4>
      </vt:variant>
    </vt:vector>
  </HeadingPairs>
  <TitlesOfParts>
    <vt:vector size="10" baseType="lpstr">
      <vt:lpstr>ตัวชี้วัด 69</vt:lpstr>
      <vt:lpstr>ตัวชี้วัด 69 (6 เดือน)</vt:lpstr>
      <vt:lpstr>สรุป 6 เดือน 69</vt:lpstr>
      <vt:lpstr>ตัวชี้วัด 69 (9 เดือน)</vt:lpstr>
      <vt:lpstr>สรุป 9 เดือน 69</vt:lpstr>
      <vt:lpstr>'สรุป 6 เดือน 69'!Print_Area</vt:lpstr>
      <vt:lpstr>'สรุป 9 เดือน 69'!Print_Area</vt:lpstr>
      <vt:lpstr>'ตัวชี้วัด 69'!Print_Titles</vt:lpstr>
      <vt:lpstr>'ตัวชี้วัด 69 (6 เดือน)'!Print_Titles</vt:lpstr>
      <vt:lpstr>'ตัวชี้วัด 69 (9 เดือน)'!Print_Titles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Kanlayarat Wongkaew</dc:creator>
  <cp:lastModifiedBy>Kanlayarat Wongkaew</cp:lastModifiedBy>
  <cp:lastPrinted>2026-04-28T04:31:17Z</cp:lastPrinted>
  <dcterms:created xsi:type="dcterms:W3CDTF">2026-02-20T04:21:08Z</dcterms:created>
  <dcterms:modified xsi:type="dcterms:W3CDTF">2026-06-08T04:08:16Z</dcterms:modified>
</cp:coreProperties>
</file>